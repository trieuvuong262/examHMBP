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 MODERN 15\Desktop\Cong viec\BV HM\Công việc\7. Ánh xạ\THUOC\2026\"/>
    </mc:Choice>
  </mc:AlternateContent>
  <xr:revisionPtr revIDLastSave="0" documentId="13_ncr:1_{E695C3F2-C67B-42E8-9D02-04880682F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U_03DM" sheetId="2" r:id="rId1"/>
  </sheets>
  <definedNames>
    <definedName name="_xlnm._FilterDatabase" localSheetId="0" hidden="1">MAU_03DM!$A$1:$AL$47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4" i="2" l="1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J2" i="2"/>
</calcChain>
</file>

<file path=xl/sharedStrings.xml><?xml version="1.0" encoding="utf-8"?>
<sst xmlns="http://schemas.openxmlformats.org/spreadsheetml/2006/main" count="704" uniqueCount="417">
  <si>
    <t>STT</t>
  </si>
  <si>
    <t>TU_NGAY</t>
  </si>
  <si>
    <t>DEN_NGAY</t>
  </si>
  <si>
    <t>MA_CSKCB</t>
  </si>
  <si>
    <t>MA_THUOC</t>
  </si>
  <si>
    <t>TEN_HOAT_CHAT</t>
  </si>
  <si>
    <t>TEN_THUOC</t>
  </si>
  <si>
    <t>DON_VI_TINH</t>
  </si>
  <si>
    <t>HAM_LUONG</t>
  </si>
  <si>
    <t>MA_DUONG_DUNG</t>
  </si>
  <si>
    <t>DANG_BAO_CHE</t>
  </si>
  <si>
    <t>DUONG_DUNG</t>
  </si>
  <si>
    <t>SO_DANG_KY</t>
  </si>
  <si>
    <t>SO_LUONG</t>
  </si>
  <si>
    <t>DON_GIA</t>
  </si>
  <si>
    <t>DON_GIA_BH</t>
  </si>
  <si>
    <t>QUY_CACH</t>
  </si>
  <si>
    <t>NHA_SX</t>
  </si>
  <si>
    <t>NUOC_SX</t>
  </si>
  <si>
    <t>NHA_THAU</t>
  </si>
  <si>
    <t>TU_NGAY_HD</t>
  </si>
  <si>
    <t>DEN_NGAY_HD</t>
  </si>
  <si>
    <t>LOAI_THUOC</t>
  </si>
  <si>
    <t>LOAI_THAU</t>
  </si>
  <si>
    <t>HT_THAU</t>
  </si>
  <si>
    <t>MA_DVKT</t>
  </si>
  <si>
    <t>TCCL</t>
  </si>
  <si>
    <t>BO_PHAN_VT</t>
  </si>
  <si>
    <t>TEN_KHOA_HOC</t>
  </si>
  <si>
    <t>NGUON_GOC</t>
  </si>
  <si>
    <t>PP_CHEBIEN</t>
  </si>
  <si>
    <t>MA_DL_NHAP</t>
  </si>
  <si>
    <t>MA_DL_CB</t>
  </si>
  <si>
    <t>TLHH_CB</t>
  </si>
  <si>
    <t>TLHH_BQ</t>
  </si>
  <si>
    <t>MA_CSKCB_THUOC</t>
  </si>
  <si>
    <t>Viên</t>
  </si>
  <si>
    <t>Uống</t>
  </si>
  <si>
    <t>1.01</t>
  </si>
  <si>
    <t>Hộp 3 vỉ x 10 viên</t>
  </si>
  <si>
    <t>TT_THAU</t>
  </si>
  <si>
    <t>Tiêm</t>
  </si>
  <si>
    <t>2.10</t>
  </si>
  <si>
    <t>Dung dịch tiêm</t>
  </si>
  <si>
    <t>Việt Nam</t>
  </si>
  <si>
    <t>Viên nén bao phim</t>
  </si>
  <si>
    <t>Chai</t>
  </si>
  <si>
    <t>Tiêm truyền</t>
  </si>
  <si>
    <t>2.15</t>
  </si>
  <si>
    <t>40mg</t>
  </si>
  <si>
    <t>Slovenia</t>
  </si>
  <si>
    <t>Gói</t>
  </si>
  <si>
    <t>Pháp</t>
  </si>
  <si>
    <t>Viên nén</t>
  </si>
  <si>
    <t>300mg</t>
  </si>
  <si>
    <t>Viên nang cứng</t>
  </si>
  <si>
    <t>Hộp 5 vỉ x 10 viên</t>
  </si>
  <si>
    <t>500mg</t>
  </si>
  <si>
    <t>Viên nang mềm</t>
  </si>
  <si>
    <t>Hộp 10 vỉ x 10 viên</t>
  </si>
  <si>
    <t>Thuốc bột</t>
  </si>
  <si>
    <t>40.48</t>
  </si>
  <si>
    <t>Dung dịch tiêm truyền</t>
  </si>
  <si>
    <t>Hungary</t>
  </si>
  <si>
    <t>40.679</t>
  </si>
  <si>
    <t>Pantoprazol</t>
  </si>
  <si>
    <t>Viên nén bao phim tan trong ruột</t>
  </si>
  <si>
    <t>Hộp 6 vỉ x 10 viên</t>
  </si>
  <si>
    <t>5mg</t>
  </si>
  <si>
    <t>40.33</t>
  </si>
  <si>
    <t>Etoricoxib</t>
  </si>
  <si>
    <t>20mg</t>
  </si>
  <si>
    <t>05C.150</t>
  </si>
  <si>
    <t>Hoastex</t>
  </si>
  <si>
    <t>Siro</t>
  </si>
  <si>
    <t>VD-25220-16</t>
  </si>
  <si>
    <t>Ống</t>
  </si>
  <si>
    <t>Dung dịch uống</t>
  </si>
  <si>
    <t>40.688</t>
  </si>
  <si>
    <t>Domperidon</t>
  </si>
  <si>
    <t>10mg</t>
  </si>
  <si>
    <t>80mg</t>
  </si>
  <si>
    <t>40.30</t>
  </si>
  <si>
    <t>Diclofenac</t>
  </si>
  <si>
    <t>40.1057</t>
  </si>
  <si>
    <t>Vitamin C</t>
  </si>
  <si>
    <t>Viên nén sủi bọt</t>
  </si>
  <si>
    <t>Công ty TNHH Liên doanh Stellapharm - Chi nhánh 1</t>
  </si>
  <si>
    <t>40.119</t>
  </si>
  <si>
    <t>Laboratoire Aguettant</t>
  </si>
  <si>
    <t>40.229</t>
  </si>
  <si>
    <t>Levofloxacin</t>
  </si>
  <si>
    <t>40.549</t>
  </si>
  <si>
    <t>Lọ</t>
  </si>
  <si>
    <t>Nhỏ mắt</t>
  </si>
  <si>
    <t>6.01</t>
  </si>
  <si>
    <t>Hộp 1 lọ 5ml</t>
  </si>
  <si>
    <t>Công ty CPDP SaVi</t>
  </si>
  <si>
    <t>40.491</t>
  </si>
  <si>
    <t>40.277</t>
  </si>
  <si>
    <t>Tây Ban Nha</t>
  </si>
  <si>
    <t>40.776</t>
  </si>
  <si>
    <t>40.1055</t>
  </si>
  <si>
    <t>40.998</t>
  </si>
  <si>
    <t>40.829</t>
  </si>
  <si>
    <t>50mg</t>
  </si>
  <si>
    <t>40.481</t>
  </si>
  <si>
    <t>Natri clorid</t>
  </si>
  <si>
    <t>75mg/3ml</t>
  </si>
  <si>
    <t>Hộp 2 vỉ x 10 viên</t>
  </si>
  <si>
    <t>Công ty Cổ phần Dược Danapha</t>
  </si>
  <si>
    <t>1000mg</t>
  </si>
  <si>
    <t>Bơm tiêm</t>
  </si>
  <si>
    <t>viên nén</t>
  </si>
  <si>
    <t>40.816</t>
  </si>
  <si>
    <t>Propylthiouracil</t>
  </si>
  <si>
    <t>Amlodipin</t>
  </si>
  <si>
    <t>Kali clorid</t>
  </si>
  <si>
    <t>40.512</t>
  </si>
  <si>
    <t>Hộp 10 ống x 1ml</t>
  </si>
  <si>
    <t>40.659</t>
  </si>
  <si>
    <t>Furosemid</t>
  </si>
  <si>
    <t>40.448</t>
  </si>
  <si>
    <t>Vitamin K1 10mg/1ml</t>
  </si>
  <si>
    <t>Việt nam</t>
  </si>
  <si>
    <t>25mg</t>
  </si>
  <si>
    <t>40.559</t>
  </si>
  <si>
    <t>Simvastatin</t>
  </si>
  <si>
    <t>40.961</t>
  </si>
  <si>
    <t>Amitriptylin hydroclorid</t>
  </si>
  <si>
    <t>Acetylcystein</t>
  </si>
  <si>
    <t>40.494</t>
  </si>
  <si>
    <t>Bisoprolol + hydroclorothiazid</t>
  </si>
  <si>
    <t>Hỗn dịch uống</t>
  </si>
  <si>
    <t>Hộp 30 gói x 10ml</t>
  </si>
  <si>
    <t>40.64</t>
  </si>
  <si>
    <t>750mg</t>
  </si>
  <si>
    <t>Glucosamin</t>
  </si>
  <si>
    <t>40.227</t>
  </si>
  <si>
    <t>Ciprofloxacin</t>
  </si>
  <si>
    <t>Rumani</t>
  </si>
  <si>
    <t>Atorvastatin</t>
  </si>
  <si>
    <t>35mg</t>
  </si>
  <si>
    <t>40.1021</t>
  </si>
  <si>
    <t>40.558</t>
  </si>
  <si>
    <t>Rosuvastatin</t>
  </si>
  <si>
    <t>Công ty Cổ phần Vắcxin và sinh phẩm Nha Trang</t>
  </si>
  <si>
    <t>SaVi Tenofovir 300</t>
  </si>
  <si>
    <t>Viên nén dài bao phim</t>
  </si>
  <si>
    <t>VD-35348-21</t>
  </si>
  <si>
    <t>Eperison</t>
  </si>
  <si>
    <t>Savi Eperisone 50</t>
  </si>
  <si>
    <t>VD-21351-14</t>
  </si>
  <si>
    <t>Chi nhánh công ty cổ phần dược phẩm Agimexpharm- Nhà máy sản xuất dược phẩm Agimexpharm</t>
  </si>
  <si>
    <t>Trimetazidin</t>
  </si>
  <si>
    <t>Losartan</t>
  </si>
  <si>
    <t>40.685</t>
  </si>
  <si>
    <t>40.485</t>
  </si>
  <si>
    <t>Viên nén bao phim</t>
  </si>
  <si>
    <t>40.718</t>
  </si>
  <si>
    <t>Bacillus subtilis</t>
  </si>
  <si>
    <t>Simvastatin Savi 20</t>
  </si>
  <si>
    <t>40.566</t>
  </si>
  <si>
    <t>Công ty cổ phần dược Apimed</t>
  </si>
  <si>
    <t>Công ty Cổ phần Dược phẩm Me Di Sun</t>
  </si>
  <si>
    <t>470mg + 5mg</t>
  </si>
  <si>
    <t>Dung dịch thuốc tiêm</t>
  </si>
  <si>
    <t>Nor-epinephrin (Nor- adrenalin)</t>
  </si>
  <si>
    <t>40.121</t>
  </si>
  <si>
    <t>50mcg/ml</t>
  </si>
  <si>
    <t>Dung dịch tiêm trong bơm tiêm đóng sẵn</t>
  </si>
  <si>
    <t>VN-21311-18</t>
  </si>
  <si>
    <t>Hộp 10 bơm tiêm đóng sẵn x 10ml</t>
  </si>
  <si>
    <t>Cetraxal</t>
  </si>
  <si>
    <t>0,2%; 0,25ml</t>
  </si>
  <si>
    <t>Nhỏ tai</t>
  </si>
  <si>
    <t>6.04</t>
  </si>
  <si>
    <t>Dung dịch nhỏ tai</t>
  </si>
  <si>
    <t>Hộp 15 ống x 0.25ml</t>
  </si>
  <si>
    <t>Laboratorios Salvat, S.A</t>
  </si>
  <si>
    <t>Biosubtyl-II</t>
  </si>
  <si>
    <t>Letdion</t>
  </si>
  <si>
    <t>VN-22724-21</t>
  </si>
  <si>
    <t>Sterolow 20</t>
  </si>
  <si>
    <t>893110071124</t>
  </si>
  <si>
    <t>Công Ty Tnhh Dược Phẩm Donapharm</t>
  </si>
  <si>
    <t>139/QĐ-SYT;G1;N5;2025;75</t>
  </si>
  <si>
    <t>Công ty Cổ phần Xuất nhập khẩu Y tế DOMESCO</t>
  </si>
  <si>
    <t>Công Ty Cp Xuất Nhập Khẩu Y Tế Domesco</t>
  </si>
  <si>
    <t>139/QĐ-SYT;G1;N3;2025;75</t>
  </si>
  <si>
    <t>139/QĐ-SYT;G1;N2;2025;75</t>
  </si>
  <si>
    <t>139/QĐ-SYT;G1;N4;2025;75</t>
  </si>
  <si>
    <t>141/QĐ-SYT;G3;N3;2025;75</t>
  </si>
  <si>
    <t>141/QĐ-SYT;G3;N1;2025;75</t>
  </si>
  <si>
    <t>Công ty cổ phần dược phẩm Savi (Savipharm J.S.C)</t>
  </si>
  <si>
    <t>139/QĐ-SYT;G1;N1;2025;75</t>
  </si>
  <si>
    <t>Công Ty Tnhh Dược Phẩm Ivy</t>
  </si>
  <si>
    <t>Công Ty Tnhh Dược Phẩm Gigamed</t>
  </si>
  <si>
    <t>Công Ty Cổ Phần Dược Danapha</t>
  </si>
  <si>
    <t>40.511</t>
  </si>
  <si>
    <t>Lisinopril + hydroclorothiazid</t>
  </si>
  <si>
    <t>Paracetamol (acetaminophen)</t>
  </si>
  <si>
    <t>Công Ty Cổ Phần Dược Phẩm Bến Tre</t>
  </si>
  <si>
    <t>Acetyl leucin</t>
  </si>
  <si>
    <t>Phytomenadion (vitamin K1)</t>
  </si>
  <si>
    <t>10mg/1ml</t>
  </si>
  <si>
    <t>Công Ty Tnhh Afp Pharma</t>
  </si>
  <si>
    <t>140/QĐ-SYT;G2;N1;2025;75</t>
  </si>
  <si>
    <t>Công Ty Cổ Phần Dược Phẩm Khương Duy</t>
  </si>
  <si>
    <t>Hộp 3 vỉ, 6 vỉ, 10 vỉ x 10 viên</t>
  </si>
  <si>
    <t>Ginkgo biloba</t>
  </si>
  <si>
    <t>N-acetylcystein</t>
  </si>
  <si>
    <t>Công Ty Cổ Phần Tmdv Thăng Long</t>
  </si>
  <si>
    <t>Công Ty Tnhh Đại Bắc - Miền Nam</t>
  </si>
  <si>
    <t>Công Ty Tnhh Dược Phẩm Và Trang Thiết Bị Y Tế Hoàng Đức</t>
  </si>
  <si>
    <t>Húng chanh, Núc nác, Cineol</t>
  </si>
  <si>
    <t>Mỗi chai 90ml chứa dịch chiết từ: Húng chanh 45g; Núc nác 11,25g; Cineol 83,7mg</t>
  </si>
  <si>
    <t>Chi nhánh công ty cổ phần dược phẩm OPC tại Bình Dương - Nhà máy dược phẩm OPC</t>
  </si>
  <si>
    <t>Công Ty Cổ Phần Dược Phẩm Opc</t>
  </si>
  <si>
    <t>Công Ty Tnhh Dược Phẩm Th</t>
  </si>
  <si>
    <t>Công Ty Trách Nhiệm Hữu Hạn Dược Phẩm Vĩnh Đông</t>
  </si>
  <si>
    <t>Công ty Cổ phần Dược phẩm Đạt Vi Phú (Davipharm)</t>
  </si>
  <si>
    <t>Tenofovir (TDF)</t>
  </si>
  <si>
    <t>Viên nén bao phim giải phóng kéo dài</t>
  </si>
  <si>
    <t>Vitamin B6 + magnesi (lactat)</t>
  </si>
  <si>
    <t>40.1005</t>
  </si>
  <si>
    <t>Kali Clorid</t>
  </si>
  <si>
    <t>Combiso</t>
  </si>
  <si>
    <t>05C.193.4</t>
  </si>
  <si>
    <t>Thục địa, Hoài sơn, Sơn thù,Mẫu đơn bì,Phục linh, Trạch tả</t>
  </si>
  <si>
    <t>Hoàn lục vị TW3</t>
  </si>
  <si>
    <t>05C.58.20</t>
  </si>
  <si>
    <t>Độc hoạt,Quế nhục, Phòng phong, Đương quy, Tế tân, Xuyên khung, Tần giao, Bạch thược, Tang ký sinh, Sinh địa, Đỗ trọng, Ngưu tất,Bạch linh, Cam thảo, Đảng sâm</t>
  </si>
  <si>
    <t>Hoàn độc hoạt tang ký sinh TW3</t>
  </si>
  <si>
    <t>05C.161.2</t>
  </si>
  <si>
    <t>Đương quy, Bạch truật, Nhân sâm, Quế nhục, Thục địa, Cam thảo, Hoàng kỳ,Bạch linh, Xuyên khung, Bạch thược</t>
  </si>
  <si>
    <t>Thập toàn đại bổ TW3</t>
  </si>
  <si>
    <t>05C.82.16</t>
  </si>
  <si>
    <t>Bạch truật,Bạch linh, Hoàng kỳ, Toan táo nhân,Đẳng sâm, Mộc hương, Cam thảo, Đương quy, Viễn chí, Long nhãn, Đại táo.</t>
  </si>
  <si>
    <t>Hoàn quy tỳ TW3</t>
  </si>
  <si>
    <t>SaVi Pantoprazole 40</t>
  </si>
  <si>
    <t>SaVi Etoricoxib 90</t>
  </si>
  <si>
    <t>A.T Noradrenaline 1mg/ml</t>
  </si>
  <si>
    <t>ống</t>
  </si>
  <si>
    <t>UmenoHCT 20/25</t>
  </si>
  <si>
    <t>Natri clorid 0,45%</t>
  </si>
  <si>
    <t>Pimagie</t>
  </si>
  <si>
    <t>Parazacol 750</t>
  </si>
  <si>
    <t>SaVi Losartan 50</t>
  </si>
  <si>
    <t>Ivabradin</t>
  </si>
  <si>
    <t>SaVi Ivabradine 5</t>
  </si>
  <si>
    <t>Amsurvit-C 1000</t>
  </si>
  <si>
    <t>Amlodipine Stella 10 mg</t>
  </si>
  <si>
    <t>Superkan F</t>
  </si>
  <si>
    <t>ANC</t>
  </si>
  <si>
    <t>05C.63</t>
  </si>
  <si>
    <t>Hy thiêm, Ngũ gia bì gai, Thiên niên kiện, Cẩu tích, Thổ phục linh</t>
  </si>
  <si>
    <t>Phong thấp</t>
  </si>
  <si>
    <t>05C.37.2</t>
  </si>
  <si>
    <t>Kim tiền thảo, Râu ngô</t>
  </si>
  <si>
    <t>Kim tiền thảo râu ngô</t>
  </si>
  <si>
    <t>Apidom</t>
  </si>
  <si>
    <t>Ống/ Gói</t>
  </si>
  <si>
    <t>40.95</t>
  </si>
  <si>
    <t>Nobstruct</t>
  </si>
  <si>
    <t>Dorotor 20mg</t>
  </si>
  <si>
    <t>Agifuros 20</t>
  </si>
  <si>
    <t>Cisse</t>
  </si>
  <si>
    <t>Prednisolon acetat</t>
  </si>
  <si>
    <t>Predni Ultra 20</t>
  </si>
  <si>
    <t>Phenylephrin</t>
  </si>
  <si>
    <t>Phenylephrine Aguettant 50 Microgrammes/ml</t>
  </si>
  <si>
    <t>Voltaren 75mg/3ml</t>
  </si>
  <si>
    <t>Tanganil 500mg</t>
  </si>
  <si>
    <t>05C.87</t>
  </si>
  <si>
    <t>Chè dây</t>
  </si>
  <si>
    <t>Ampelop</t>
  </si>
  <si>
    <t>Teperinep 25 mg</t>
  </si>
  <si>
    <t>SaVi Trimetazidine 35MR</t>
  </si>
  <si>
    <t>5mg/ml, dung tích 5ml</t>
  </si>
  <si>
    <t>5mg ; 6,25mg</t>
  </si>
  <si>
    <t>10^7-10^8 CFU/g</t>
  </si>
  <si>
    <t>1,344g; 0,672g; 0,672g; 0,504g; 0,504g; 0,504g.</t>
  </si>
  <si>
    <t>48,75mg; 32,5mg; 32,5mg; 32,5mg; 32,5mg; 32,5mg; 32,5mg; 32,5mg; 32,5mg; 32,5mg; 32,5mg; (260mg; 260mg; 260mg; 260mg) 13mg.</t>
  </si>
  <si>
    <t>(10mg; 30mg; 80mg; 110mg; 110mg; 110mg) 450mg; (30mg; 110mg; 110mg; 160mg) 150mg</t>
  </si>
  <si>
    <t>0,62g; 0,62g; 0,62g; 0,62g; 0,31g; 0,31g; 0,31g; 0,30g; 0,15g; 0,09g; 0,05g.</t>
  </si>
  <si>
    <t>90mg</t>
  </si>
  <si>
    <t>10mg/10ml; 10ml</t>
  </si>
  <si>
    <t>20mg + 25mg</t>
  </si>
  <si>
    <t>0,45%;500ml</t>
  </si>
  <si>
    <t>10mg/ml, 75ml</t>
  </si>
  <si>
    <t>200mg/5ml; 30ml</t>
  </si>
  <si>
    <t>Cao hỗn hợp dược liệu 195mg gồm: Hy thiêm 600mg; Ngũ Gia bì 800mg; Thiên niên kiện 300mg; Cẩu tích 50mg; Thổ phục linh 50mg.</t>
  </si>
  <si>
    <t>Cao khô Kim tiền thảo (tương đương với 750 mg Kim tiền thảo) 50 mg; Cao khô râu ngô (tương đương 960 mg Râu ngô) 53 mg</t>
  </si>
  <si>
    <t>1mg/ml; 10ml</t>
  </si>
  <si>
    <t>300mg/3ml</t>
  </si>
  <si>
    <t>625mg</t>
  </si>
  <si>
    <t xml:space="preserve">Dung dịch nhỏ mắt </t>
  </si>
  <si>
    <t>893110627524</t>
  </si>
  <si>
    <t>859110191723</t>
  </si>
  <si>
    <t>QLSP-855-15</t>
  </si>
  <si>
    <t>Viên hoàn mềm</t>
  </si>
  <si>
    <t>VD-24300-16</t>
  </si>
  <si>
    <t>VD-33578-19</t>
  </si>
  <si>
    <t>VD-33180-19</t>
  </si>
  <si>
    <t>VD-25814-16</t>
  </si>
  <si>
    <t>VD-20248-13</t>
  </si>
  <si>
    <t>VD-34238-20</t>
  </si>
  <si>
    <t xml:space="preserve"> Dung dịch đậm đặc để pha tiêm truyền</t>
  </si>
  <si>
    <t>893110361624</t>
  </si>
  <si>
    <t>893110318424</t>
  </si>
  <si>
    <t>893110118623</t>
  </si>
  <si>
    <t>893100713824</t>
  </si>
  <si>
    <t>893110482324</t>
  </si>
  <si>
    <t>893110338924</t>
  </si>
  <si>
    <t>893110318024</t>
  </si>
  <si>
    <t>VD-35451-21</t>
  </si>
  <si>
    <t>893110541724</t>
  </si>
  <si>
    <t>893110543624</t>
  </si>
  <si>
    <t>840115525624</t>
  </si>
  <si>
    <t>893110389923</t>
  </si>
  <si>
    <t>VD-25838-16</t>
  </si>
  <si>
    <t>VD-32057-19</t>
  </si>
  <si>
    <t>VD-18191-13</t>
  </si>
  <si>
    <t>TCT-00145-23</t>
  </si>
  <si>
    <t>VD-30943-18</t>
  </si>
  <si>
    <t>893110477224</t>
  </si>
  <si>
    <t>893110395724</t>
  </si>
  <si>
    <t>VD-20064-13</t>
  </si>
  <si>
    <t>893110204900</t>
  </si>
  <si>
    <t>893100659524</t>
  </si>
  <si>
    <t>893110136000</t>
  </si>
  <si>
    <t>VN-20041-16</t>
  </si>
  <si>
    <t>893110208525</t>
  </si>
  <si>
    <t>VD-23887-15</t>
  </si>
  <si>
    <t>VN-22777-21</t>
  </si>
  <si>
    <t>893110543124</t>
  </si>
  <si>
    <t>Rompharm Company S.r.l</t>
  </si>
  <si>
    <t>Công ty Cổ Phần Dược Phẩm 2/9</t>
  </si>
  <si>
    <t>Pro.Med.CS Praha a.s</t>
  </si>
  <si>
    <t>Czech Republic</t>
  </si>
  <si>
    <t>Hộp 50 gói x 1 gam</t>
  </si>
  <si>
    <t>Hộp 10 hoàn x 8g</t>
  </si>
  <si>
    <t>Công ty Cổ phần Dược phẩm Trung ương 3</t>
  </si>
  <si>
    <t>Hộp 10 hoàn x 3g</t>
  </si>
  <si>
    <t>Hộp 2 vỉ x 10 viên; Hộp 5 vỉ x 10 viên</t>
  </si>
  <si>
    <t>Hộp 5 ống, 10 ống, 20 ống x 10ml</t>
  </si>
  <si>
    <t>Công ty cổ phần dược phẩm An Thiên</t>
  </si>
  <si>
    <t>Thùng 20 chai x 500ml</t>
  </si>
  <si>
    <t>Công ty cổ phần kỹ thuật Dược Bình Định</t>
  </si>
  <si>
    <t>Công ty Cổ phần Dược Trung ương Mediplantex</t>
  </si>
  <si>
    <t>Lọ 100 viên</t>
  </si>
  <si>
    <t>Công ty Cổ phần dược phẩm Hà Nội</t>
  </si>
  <si>
    <t>Lọ 75ml</t>
  </si>
  <si>
    <t>Công ty cổ phần dược phẩm Trung ương 1 - Pharbaco.</t>
  </si>
  <si>
    <t>Hộp 1 tuýp x 10 viên</t>
  </si>
  <si>
    <t>Hộp 1 chai 30ml</t>
  </si>
  <si>
    <t>Hộp 5 vỉ x 10 viên nang cứng</t>
  </si>
  <si>
    <t>Chai 100 viên, Hộp 10 vỉ x 10 viên nén bao phim</t>
  </si>
  <si>
    <t>Hộp 10 ống x 3ml</t>
  </si>
  <si>
    <t>Công ty CP Dược phẩm Trung ương 2</t>
  </si>
  <si>
    <t>Hộp 2 vỉ x 10 viên, Hộp 10 vỉ x 10 viên</t>
  </si>
  <si>
    <t>Hộp 10 vỉ x 10 viên, (Al/PVC)</t>
  </si>
  <si>
    <t>Công ty cổ phần dược Enlie</t>
  </si>
  <si>
    <t>Hộp 1 vỉ x 5 ống 3ml</t>
  </si>
  <si>
    <t>Lek Pharmaceuticals d.d.</t>
  </si>
  <si>
    <t>Pierre Fabre Medicament Production</t>
  </si>
  <si>
    <t>Hộp 9 vỉ x 10 viên</t>
  </si>
  <si>
    <t>Công ty cổ phần công nghệ cao Traphaco</t>
  </si>
  <si>
    <t>ExtractumPharma Co. Ltd.</t>
  </si>
  <si>
    <t>Hộp 30 gói x 5ml</t>
  </si>
  <si>
    <t>Công Ty Tnhh Dược Phẩm Huy Thịnh</t>
  </si>
  <si>
    <t>Công Ty Cổ Phần Dược Phẩm Trung Ương 3</t>
  </si>
  <si>
    <t>Công Ty Cổ Phần Dược Phẩm Savi</t>
  </si>
  <si>
    <t>Công Ty Tnhh Một Thành Viên Dược Sài Gòn</t>
  </si>
  <si>
    <t>Công Ty Cổ Phần Thương Mại Và Dược Phẩm Khánh Minh</t>
  </si>
  <si>
    <t>Công Ty Tnhh Dược Phẩm Nam Thái Dương</t>
  </si>
  <si>
    <t>Công Ty Tnhh Dược Phẩm Salud</t>
  </si>
  <si>
    <t>Công Ty Tnhh Dược Phẩm Phạm Anh</t>
  </si>
  <si>
    <t>Công Ty Tnhh Dược Phẩm Hq</t>
  </si>
  <si>
    <t>Công Ty Cổ Phần Y Tế Dnt Việt Nam</t>
  </si>
  <si>
    <t>141/QĐ-SYT;G3;N2;2025;75</t>
  </si>
  <si>
    <t>40.155</t>
  </si>
  <si>
    <t>Amoxicilin + acid clavulanic</t>
  </si>
  <si>
    <t>Imefed 250mg/31,25mg</t>
  </si>
  <si>
    <t>250mg + 31,25mg</t>
  </si>
  <si>
    <t>Thuốc bột pha hỗn dịch uống</t>
  </si>
  <si>
    <t>893110320100</t>
  </si>
  <si>
    <t>Hộp 1 túi x 12 gói 1g</t>
  </si>
  <si>
    <t>Chi nhánh Công ty cổ phần dược phẩm Imexpharm - Nhà máy kháng sinh công nghệ cao Vĩnh Lộc</t>
  </si>
  <si>
    <t>20250408</t>
  </si>
  <si>
    <t>Imefed 500mg/125mg</t>
  </si>
  <si>
    <t>500mg + 125mg</t>
  </si>
  <si>
    <t>VD-31718-19</t>
  </si>
  <si>
    <t>Hộp 1 túi , 12 gói x 1,6g</t>
  </si>
  <si>
    <t>20250227</t>
  </si>
  <si>
    <t>40.1015</t>
  </si>
  <si>
    <t>Glucose</t>
  </si>
  <si>
    <t>GLUCOSE 5%</t>
  </si>
  <si>
    <t>5%; 250ml</t>
  </si>
  <si>
    <t>Tiêm truyền tĩnh mạch</t>
  </si>
  <si>
    <t>2.05</t>
  </si>
  <si>
    <t>893110238000</t>
  </si>
  <si>
    <t>Thùng 30 chai nhựa 250ml</t>
  </si>
  <si>
    <t>Công ty cổ phần Fresenius Kabi Việt Nam</t>
  </si>
  <si>
    <t>Công Ty Cổ Phần Gonsa</t>
  </si>
  <si>
    <t>40.451</t>
  </si>
  <si>
    <t>Tranexamic acid</t>
  </si>
  <si>
    <t>A.T Tranexamic inj</t>
  </si>
  <si>
    <t>250mg/5ml; 10ml hoặc 500mg/10ml</t>
  </si>
  <si>
    <t>893110276323</t>
  </si>
  <si>
    <t>Hộp 5 ống x 10ml</t>
  </si>
  <si>
    <t>Công ty Cổ phần Dược phẩm An Thiên</t>
  </si>
  <si>
    <t>Công Ty Cổ Phần Dược Phẩm Trung Ương Cpc1</t>
  </si>
  <si>
    <t>200</t>
  </si>
  <si>
    <t>20270227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</si>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</sst>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3" fillId="0" borderId="0" xfId="1" applyNumberFormat="1" applyFont="1" applyFill="1"/>
    <xf numFmtId="49" fontId="4" fillId="0" borderId="0" xfId="0" applyNumberFormat="1" applyFont="1"/>
    <xf numFmtId="49" fontId="4" fillId="0" borderId="0" xfId="1" applyNumberFormat="1" applyFon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C730-398F-4D8B-A2E6-D25E7B817390}">
  <dimension ref="A1:AK48"/>
  <sheetViews>
    <sheetView tabSelected="1" topLeftCell="A40" zoomScale="90" zoomScaleNormal="90" workbookViewId="0">
      <selection activeCell="F56" sqref="F56"/>
    </sheetView>
  </sheetViews>
  <sheetFormatPr defaultColWidth="9.109375" defaultRowHeight="14.4" x14ac:dyDescent="0.3"/>
  <cols>
    <col min="1" max="1" width="5.33203125" style="2" customWidth="1"/>
    <col min="2" max="2" width="10.6640625" style="2" bestFit="1" customWidth="1"/>
    <col min="3" max="3" width="15.6640625" style="2" bestFit="1" customWidth="1"/>
    <col min="4" max="4" width="18.88671875" style="2" customWidth="1"/>
    <col min="5" max="5" width="12.88671875" style="2" bestFit="1" customWidth="1"/>
    <col min="6" max="6" width="12.109375" style="2" bestFit="1" customWidth="1"/>
    <col min="7" max="7" width="14" style="2" bestFit="1" customWidth="1"/>
    <col min="8" max="8" width="17.6640625" style="2" bestFit="1" customWidth="1"/>
    <col min="9" max="9" width="15.109375" style="2" bestFit="1" customWidth="1"/>
    <col min="10" max="10" width="16.6640625" style="2" customWidth="1"/>
    <col min="11" max="11" width="10.5546875" style="2" bestFit="1" customWidth="1"/>
    <col min="12" max="12" width="9" style="2" bestFit="1" customWidth="1"/>
    <col min="13" max="13" width="12.33203125" style="2" bestFit="1" customWidth="1"/>
    <col min="14" max="14" width="15.6640625" style="2" bestFit="1" customWidth="1"/>
    <col min="15" max="15" width="33.88671875" style="2" bestFit="1" customWidth="1"/>
    <col min="16" max="16" width="9.33203125" style="2" bestFit="1" customWidth="1"/>
    <col min="17" max="17" width="28.44140625" style="2" customWidth="1"/>
    <col min="18" max="18" width="28.6640625" style="2" customWidth="1"/>
    <col min="19" max="19" width="12.44140625" style="2" bestFit="1" customWidth="1"/>
    <col min="20" max="20" width="17.6640625" style="2" customWidth="1"/>
    <col min="21" max="21" width="10.109375" style="2" customWidth="1"/>
    <col min="22" max="22" width="12" style="2" customWidth="1"/>
    <col min="23" max="23" width="10.5546875" style="2" customWidth="1"/>
    <col min="24" max="24" width="8.88671875" style="2" customWidth="1"/>
    <col min="25" max="25" width="9.109375" style="2" customWidth="1"/>
    <col min="26" max="26" width="5.109375" style="2" customWidth="1"/>
    <col min="27" max="27" width="12.44140625" style="2" customWidth="1"/>
    <col min="28" max="28" width="15.109375" style="2" customWidth="1"/>
    <col min="29" max="29" width="12.5546875" style="2" customWidth="1"/>
    <col min="30" max="30" width="11.6640625" style="2" customWidth="1"/>
    <col min="31" max="31" width="12.5546875" style="2" customWidth="1"/>
    <col min="32" max="32" width="9.88671875" style="2" customWidth="1"/>
    <col min="33" max="33" width="8.5546875" style="2" customWidth="1"/>
    <col min="34" max="34" width="8.88671875" style="2" customWidth="1"/>
    <col min="35" max="35" width="17.44140625" style="2" customWidth="1"/>
    <col min="36" max="36" width="16.77734375" style="2" customWidth="1"/>
    <col min="37" max="37" width="13.109375" style="2" customWidth="1"/>
    <col min="38" max="16384" width="9.109375" style="2"/>
  </cols>
  <sheetData>
    <row r="1" spans="1:37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11</v>
      </c>
      <c r="H1" s="2" t="s">
        <v>9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40</v>
      </c>
      <c r="S1" s="2" t="s">
        <v>20</v>
      </c>
      <c r="T1" s="2" t="s">
        <v>21</v>
      </c>
      <c r="U1" s="2" t="s">
        <v>3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1</v>
      </c>
      <c r="AK1" s="2" t="s">
        <v>2</v>
      </c>
    </row>
    <row r="2" spans="1:37" x14ac:dyDescent="0.3">
      <c r="A2" s="2">
        <v>1</v>
      </c>
      <c r="B2" s="2" t="s">
        <v>90</v>
      </c>
      <c r="C2" s="2" t="s">
        <v>91</v>
      </c>
      <c r="D2" s="2" t="s">
        <v>181</v>
      </c>
      <c r="E2" s="2" t="s">
        <v>93</v>
      </c>
      <c r="F2" s="2" t="s">
        <v>279</v>
      </c>
      <c r="G2" s="2" t="s">
        <v>94</v>
      </c>
      <c r="H2" s="2" t="s">
        <v>95</v>
      </c>
      <c r="I2" s="2" t="s">
        <v>297</v>
      </c>
      <c r="J2" s="2" t="s">
        <v>182</v>
      </c>
      <c r="K2" s="3">
        <v>20</v>
      </c>
      <c r="L2" s="2">
        <v>84000</v>
      </c>
      <c r="M2" s="2">
        <v>84000</v>
      </c>
      <c r="N2" s="2" t="s">
        <v>96</v>
      </c>
      <c r="O2" s="2" t="s">
        <v>337</v>
      </c>
      <c r="P2" s="2" t="s">
        <v>140</v>
      </c>
      <c r="Q2" s="2" t="s">
        <v>213</v>
      </c>
      <c r="R2" s="2" t="s">
        <v>195</v>
      </c>
      <c r="S2" s="2">
        <v>20250227</v>
      </c>
      <c r="T2" s="2">
        <v>20270227</v>
      </c>
      <c r="U2" s="2">
        <v>70079</v>
      </c>
      <c r="V2" s="2">
        <v>1</v>
      </c>
      <c r="W2" s="2">
        <v>1</v>
      </c>
      <c r="X2" s="2">
        <v>1</v>
      </c>
      <c r="AJ2" s="2">
        <f t="shared" ref="AJ2:AJ44" si="0">S2</f>
        <v>20250227</v>
      </c>
    </row>
    <row r="3" spans="1:37" x14ac:dyDescent="0.3">
      <c r="A3" s="2">
        <v>2</v>
      </c>
      <c r="B3" s="2" t="s">
        <v>225</v>
      </c>
      <c r="C3" s="2" t="s">
        <v>117</v>
      </c>
      <c r="D3" s="2" t="s">
        <v>226</v>
      </c>
      <c r="E3" s="2" t="s">
        <v>36</v>
      </c>
      <c r="F3" s="2" t="s">
        <v>57</v>
      </c>
      <c r="G3" s="2" t="s">
        <v>37</v>
      </c>
      <c r="H3" s="2" t="s">
        <v>38</v>
      </c>
      <c r="I3" s="2" t="s">
        <v>53</v>
      </c>
      <c r="J3" s="2" t="s">
        <v>298</v>
      </c>
      <c r="K3" s="3">
        <v>1000</v>
      </c>
      <c r="L3" s="2">
        <v>800</v>
      </c>
      <c r="M3" s="2">
        <v>800</v>
      </c>
      <c r="N3" s="2" t="s">
        <v>59</v>
      </c>
      <c r="O3" s="2" t="s">
        <v>338</v>
      </c>
      <c r="P3" s="2" t="s">
        <v>44</v>
      </c>
      <c r="Q3" s="2" t="s">
        <v>371</v>
      </c>
      <c r="R3" s="2" t="s">
        <v>191</v>
      </c>
      <c r="S3" s="2">
        <v>20250227</v>
      </c>
      <c r="T3" s="2">
        <v>20270227</v>
      </c>
      <c r="U3" s="2">
        <v>70079</v>
      </c>
      <c r="V3" s="2">
        <v>1</v>
      </c>
      <c r="W3" s="2">
        <v>1</v>
      </c>
      <c r="X3" s="2">
        <v>1</v>
      </c>
      <c r="AJ3" s="2">
        <f t="shared" si="0"/>
        <v>20250227</v>
      </c>
    </row>
    <row r="4" spans="1:37" x14ac:dyDescent="0.3">
      <c r="A4" s="2">
        <v>3</v>
      </c>
      <c r="B4" s="2" t="s">
        <v>131</v>
      </c>
      <c r="C4" s="2" t="s">
        <v>132</v>
      </c>
      <c r="D4" s="2" t="s">
        <v>227</v>
      </c>
      <c r="E4" s="2" t="s">
        <v>36</v>
      </c>
      <c r="F4" s="2" t="s">
        <v>280</v>
      </c>
      <c r="G4" s="2" t="s">
        <v>37</v>
      </c>
      <c r="H4" s="2" t="s">
        <v>38</v>
      </c>
      <c r="I4" s="2" t="s">
        <v>53</v>
      </c>
      <c r="J4" s="2" t="s">
        <v>299</v>
      </c>
      <c r="K4" s="3">
        <v>900</v>
      </c>
      <c r="L4" s="2">
        <v>4440</v>
      </c>
      <c r="M4" s="2">
        <v>4440</v>
      </c>
      <c r="N4" s="2" t="s">
        <v>39</v>
      </c>
      <c r="O4" s="2" t="s">
        <v>339</v>
      </c>
      <c r="P4" s="2" t="s">
        <v>340</v>
      </c>
      <c r="Q4" s="2" t="s">
        <v>202</v>
      </c>
      <c r="R4" s="2" t="s">
        <v>195</v>
      </c>
      <c r="S4" s="2">
        <v>20250227</v>
      </c>
      <c r="T4" s="2">
        <v>20270227</v>
      </c>
      <c r="U4" s="2">
        <v>70079</v>
      </c>
      <c r="V4" s="2">
        <v>1</v>
      </c>
      <c r="W4" s="2">
        <v>1</v>
      </c>
      <c r="X4" s="2">
        <v>1</v>
      </c>
      <c r="AJ4" s="2">
        <f t="shared" si="0"/>
        <v>20250227</v>
      </c>
    </row>
    <row r="5" spans="1:37" x14ac:dyDescent="0.3">
      <c r="A5" s="2">
        <v>4</v>
      </c>
      <c r="B5" s="2" t="s">
        <v>159</v>
      </c>
      <c r="C5" s="2" t="s">
        <v>160</v>
      </c>
      <c r="D5" s="2" t="s">
        <v>180</v>
      </c>
      <c r="E5" s="2" t="s">
        <v>51</v>
      </c>
      <c r="F5" s="2" t="s">
        <v>281</v>
      </c>
      <c r="G5" s="2" t="s">
        <v>37</v>
      </c>
      <c r="H5" s="2" t="s">
        <v>38</v>
      </c>
      <c r="I5" s="2" t="s">
        <v>60</v>
      </c>
      <c r="J5" s="2" t="s">
        <v>300</v>
      </c>
      <c r="K5" s="3">
        <v>1200</v>
      </c>
      <c r="L5" s="2">
        <v>1596</v>
      </c>
      <c r="M5" s="2">
        <v>1596</v>
      </c>
      <c r="N5" s="2" t="s">
        <v>341</v>
      </c>
      <c r="O5" s="2" t="s">
        <v>146</v>
      </c>
      <c r="P5" s="2" t="s">
        <v>44</v>
      </c>
      <c r="Q5" s="2" t="s">
        <v>202</v>
      </c>
      <c r="R5" s="2" t="s">
        <v>191</v>
      </c>
      <c r="S5" s="2">
        <v>20250227</v>
      </c>
      <c r="T5" s="2">
        <v>20270227</v>
      </c>
      <c r="U5" s="2">
        <v>70079</v>
      </c>
      <c r="V5" s="2">
        <v>1</v>
      </c>
      <c r="W5" s="2">
        <v>1</v>
      </c>
      <c r="X5" s="2">
        <v>1</v>
      </c>
      <c r="AJ5" s="2">
        <f t="shared" si="0"/>
        <v>20250227</v>
      </c>
    </row>
    <row r="6" spans="1:37" x14ac:dyDescent="0.3">
      <c r="A6" s="2">
        <v>5</v>
      </c>
      <c r="B6" s="2" t="s">
        <v>228</v>
      </c>
      <c r="C6" s="2" t="s">
        <v>229</v>
      </c>
      <c r="D6" s="2" t="s">
        <v>230</v>
      </c>
      <c r="E6" s="2" t="s">
        <v>36</v>
      </c>
      <c r="F6" s="2" t="s">
        <v>282</v>
      </c>
      <c r="G6" s="2" t="s">
        <v>37</v>
      </c>
      <c r="H6" s="2" t="s">
        <v>38</v>
      </c>
      <c r="I6" s="2" t="s">
        <v>301</v>
      </c>
      <c r="J6" s="2" t="s">
        <v>302</v>
      </c>
      <c r="K6" s="3">
        <v>500</v>
      </c>
      <c r="L6" s="2">
        <v>2751</v>
      </c>
      <c r="M6" s="2">
        <v>2751</v>
      </c>
      <c r="N6" s="2" t="s">
        <v>342</v>
      </c>
      <c r="O6" s="2" t="s">
        <v>343</v>
      </c>
      <c r="P6" s="2" t="s">
        <v>44</v>
      </c>
      <c r="Q6" s="2" t="s">
        <v>372</v>
      </c>
      <c r="R6" s="2" t="s">
        <v>192</v>
      </c>
      <c r="S6" s="2">
        <v>20250227</v>
      </c>
      <c r="T6" s="2">
        <v>20270227</v>
      </c>
      <c r="U6" s="2">
        <v>70079</v>
      </c>
      <c r="V6" s="2">
        <v>2</v>
      </c>
      <c r="W6" s="2">
        <v>1</v>
      </c>
      <c r="X6" s="2">
        <v>1</v>
      </c>
      <c r="AJ6" s="2">
        <f t="shared" si="0"/>
        <v>20250227</v>
      </c>
    </row>
    <row r="7" spans="1:37" x14ac:dyDescent="0.3">
      <c r="A7" s="2">
        <v>6</v>
      </c>
      <c r="B7" s="2" t="s">
        <v>231</v>
      </c>
      <c r="C7" s="2" t="s">
        <v>232</v>
      </c>
      <c r="D7" s="2" t="s">
        <v>233</v>
      </c>
      <c r="E7" s="2" t="s">
        <v>36</v>
      </c>
      <c r="F7" s="2" t="s">
        <v>283</v>
      </c>
      <c r="G7" s="2" t="s">
        <v>37</v>
      </c>
      <c r="H7" s="2" t="s">
        <v>38</v>
      </c>
      <c r="I7" s="2" t="s">
        <v>301</v>
      </c>
      <c r="J7" s="2" t="s">
        <v>303</v>
      </c>
      <c r="K7" s="3">
        <v>500</v>
      </c>
      <c r="L7" s="2">
        <v>5481</v>
      </c>
      <c r="M7" s="2">
        <v>5481</v>
      </c>
      <c r="N7" s="2" t="s">
        <v>344</v>
      </c>
      <c r="O7" s="2" t="s">
        <v>343</v>
      </c>
      <c r="P7" s="2" t="s">
        <v>44</v>
      </c>
      <c r="Q7" s="2" t="s">
        <v>372</v>
      </c>
      <c r="R7" s="2" t="s">
        <v>192</v>
      </c>
      <c r="S7" s="2">
        <v>20250227</v>
      </c>
      <c r="T7" s="2">
        <v>20270227</v>
      </c>
      <c r="U7" s="2">
        <v>70079</v>
      </c>
      <c r="V7" s="2">
        <v>2</v>
      </c>
      <c r="W7" s="2">
        <v>1</v>
      </c>
      <c r="X7" s="2">
        <v>1</v>
      </c>
      <c r="AJ7" s="2">
        <f t="shared" si="0"/>
        <v>20250227</v>
      </c>
    </row>
    <row r="8" spans="1:37" x14ac:dyDescent="0.3">
      <c r="A8" s="2">
        <v>7</v>
      </c>
      <c r="B8" s="2" t="s">
        <v>234</v>
      </c>
      <c r="C8" s="2" t="s">
        <v>235</v>
      </c>
      <c r="D8" s="2" t="s">
        <v>236</v>
      </c>
      <c r="E8" s="2" t="s">
        <v>36</v>
      </c>
      <c r="F8" s="2" t="s">
        <v>284</v>
      </c>
      <c r="G8" s="2" t="s">
        <v>37</v>
      </c>
      <c r="H8" s="2" t="s">
        <v>38</v>
      </c>
      <c r="I8" s="2" t="s">
        <v>55</v>
      </c>
      <c r="J8" s="2" t="s">
        <v>304</v>
      </c>
      <c r="K8" s="3">
        <v>1000</v>
      </c>
      <c r="L8" s="2">
        <v>735</v>
      </c>
      <c r="M8" s="2">
        <v>735</v>
      </c>
      <c r="N8" s="2" t="s">
        <v>345</v>
      </c>
      <c r="O8" s="2" t="s">
        <v>343</v>
      </c>
      <c r="P8" s="2" t="s">
        <v>44</v>
      </c>
      <c r="Q8" s="2" t="s">
        <v>372</v>
      </c>
      <c r="R8" s="2" t="s">
        <v>192</v>
      </c>
      <c r="S8" s="2">
        <v>20250227</v>
      </c>
      <c r="T8" s="2">
        <v>20270227</v>
      </c>
      <c r="U8" s="2">
        <v>70079</v>
      </c>
      <c r="V8" s="2">
        <v>2</v>
      </c>
      <c r="W8" s="2">
        <v>1</v>
      </c>
      <c r="X8" s="2">
        <v>1</v>
      </c>
      <c r="AJ8" s="2">
        <f t="shared" si="0"/>
        <v>20250227</v>
      </c>
    </row>
    <row r="9" spans="1:37" x14ac:dyDescent="0.3">
      <c r="A9" s="2">
        <v>8</v>
      </c>
      <c r="B9" s="2" t="s">
        <v>237</v>
      </c>
      <c r="C9" s="2" t="s">
        <v>238</v>
      </c>
      <c r="D9" s="2" t="s">
        <v>239</v>
      </c>
      <c r="E9" s="2" t="s">
        <v>36</v>
      </c>
      <c r="F9" s="2" t="s">
        <v>285</v>
      </c>
      <c r="G9" s="2" t="s">
        <v>37</v>
      </c>
      <c r="H9" s="2" t="s">
        <v>38</v>
      </c>
      <c r="I9" s="2" t="s">
        <v>301</v>
      </c>
      <c r="J9" s="2" t="s">
        <v>305</v>
      </c>
      <c r="K9" s="3">
        <v>500</v>
      </c>
      <c r="L9" s="2">
        <v>4200</v>
      </c>
      <c r="M9" s="2">
        <v>4200</v>
      </c>
      <c r="N9" s="2" t="s">
        <v>342</v>
      </c>
      <c r="O9" s="2" t="s">
        <v>343</v>
      </c>
      <c r="P9" s="2" t="s">
        <v>44</v>
      </c>
      <c r="Q9" s="2" t="s">
        <v>372</v>
      </c>
      <c r="R9" s="2" t="s">
        <v>192</v>
      </c>
      <c r="S9" s="2">
        <v>20250227</v>
      </c>
      <c r="T9" s="2">
        <v>20270227</v>
      </c>
      <c r="U9" s="2">
        <v>70079</v>
      </c>
      <c r="V9" s="2">
        <v>2</v>
      </c>
      <c r="W9" s="2">
        <v>1</v>
      </c>
      <c r="X9" s="2">
        <v>1</v>
      </c>
      <c r="AJ9" s="2">
        <f t="shared" si="0"/>
        <v>20250227</v>
      </c>
    </row>
    <row r="10" spans="1:37" x14ac:dyDescent="0.3">
      <c r="A10" s="2">
        <v>9</v>
      </c>
      <c r="B10" s="2" t="s">
        <v>64</v>
      </c>
      <c r="C10" s="2" t="s">
        <v>65</v>
      </c>
      <c r="D10" s="2" t="s">
        <v>240</v>
      </c>
      <c r="E10" s="2" t="s">
        <v>36</v>
      </c>
      <c r="F10" s="2" t="s">
        <v>49</v>
      </c>
      <c r="G10" s="2" t="s">
        <v>37</v>
      </c>
      <c r="H10" s="2" t="s">
        <v>38</v>
      </c>
      <c r="I10" s="2" t="s">
        <v>66</v>
      </c>
      <c r="J10" s="2" t="s">
        <v>306</v>
      </c>
      <c r="K10" s="3">
        <v>560</v>
      </c>
      <c r="L10" s="3">
        <v>775</v>
      </c>
      <c r="M10" s="2">
        <v>775</v>
      </c>
      <c r="N10" s="2" t="s">
        <v>109</v>
      </c>
      <c r="O10" s="2" t="s">
        <v>97</v>
      </c>
      <c r="P10" s="2" t="s">
        <v>44</v>
      </c>
      <c r="Q10" s="2" t="s">
        <v>373</v>
      </c>
      <c r="R10" s="2" t="s">
        <v>189</v>
      </c>
      <c r="S10" s="2">
        <v>20250227</v>
      </c>
      <c r="T10" s="2">
        <v>20270227</v>
      </c>
      <c r="U10" s="2">
        <v>70079</v>
      </c>
      <c r="V10" s="2">
        <v>1</v>
      </c>
      <c r="W10" s="2">
        <v>1</v>
      </c>
      <c r="X10" s="2">
        <v>1</v>
      </c>
      <c r="AJ10" s="2">
        <f t="shared" si="0"/>
        <v>20250227</v>
      </c>
    </row>
    <row r="11" spans="1:37" x14ac:dyDescent="0.3">
      <c r="A11" s="2">
        <v>10</v>
      </c>
      <c r="B11" s="2" t="s">
        <v>69</v>
      </c>
      <c r="C11" s="2" t="s">
        <v>70</v>
      </c>
      <c r="D11" s="2" t="s">
        <v>241</v>
      </c>
      <c r="E11" s="2" t="s">
        <v>36</v>
      </c>
      <c r="F11" s="2" t="s">
        <v>286</v>
      </c>
      <c r="G11" s="2" t="s">
        <v>37</v>
      </c>
      <c r="H11" s="2" t="s">
        <v>38</v>
      </c>
      <c r="I11" s="2" t="s">
        <v>45</v>
      </c>
      <c r="J11" s="2" t="s">
        <v>307</v>
      </c>
      <c r="K11" s="3">
        <v>600</v>
      </c>
      <c r="L11" s="3">
        <v>990</v>
      </c>
      <c r="M11" s="2">
        <v>990</v>
      </c>
      <c r="N11" s="2" t="s">
        <v>39</v>
      </c>
      <c r="O11" s="2" t="s">
        <v>97</v>
      </c>
      <c r="P11" s="2" t="s">
        <v>44</v>
      </c>
      <c r="Q11" s="2" t="s">
        <v>373</v>
      </c>
      <c r="R11" s="2" t="s">
        <v>190</v>
      </c>
      <c r="S11" s="2">
        <v>20250227</v>
      </c>
      <c r="T11" s="2">
        <v>20270227</v>
      </c>
      <c r="U11" s="2">
        <v>70079</v>
      </c>
      <c r="V11" s="2">
        <v>1</v>
      </c>
      <c r="W11" s="2">
        <v>1</v>
      </c>
      <c r="X11" s="2">
        <v>1</v>
      </c>
      <c r="AJ11" s="2">
        <f t="shared" si="0"/>
        <v>20250227</v>
      </c>
    </row>
    <row r="12" spans="1:37" x14ac:dyDescent="0.3">
      <c r="A12" s="2">
        <v>11</v>
      </c>
      <c r="B12" s="2" t="s">
        <v>144</v>
      </c>
      <c r="C12" s="2" t="s">
        <v>145</v>
      </c>
      <c r="D12" s="2" t="s">
        <v>183</v>
      </c>
      <c r="E12" s="2" t="s">
        <v>36</v>
      </c>
      <c r="F12" s="2" t="s">
        <v>71</v>
      </c>
      <c r="G12" s="2" t="s">
        <v>37</v>
      </c>
      <c r="H12" s="2" t="s">
        <v>38</v>
      </c>
      <c r="I12" s="2" t="s">
        <v>45</v>
      </c>
      <c r="J12" s="2" t="s">
        <v>184</v>
      </c>
      <c r="K12" s="3">
        <v>2100</v>
      </c>
      <c r="L12" s="3">
        <v>469</v>
      </c>
      <c r="M12" s="2">
        <v>469</v>
      </c>
      <c r="N12" s="2" t="s">
        <v>39</v>
      </c>
      <c r="O12" s="2" t="s">
        <v>97</v>
      </c>
      <c r="P12" s="2" t="s">
        <v>44</v>
      </c>
      <c r="Q12" s="2" t="s">
        <v>373</v>
      </c>
      <c r="R12" s="2" t="s">
        <v>189</v>
      </c>
      <c r="S12" s="2">
        <v>20250227</v>
      </c>
      <c r="T12" s="2">
        <v>20270227</v>
      </c>
      <c r="U12" s="2">
        <v>70079</v>
      </c>
      <c r="V12" s="2">
        <v>1</v>
      </c>
      <c r="W12" s="2">
        <v>1</v>
      </c>
      <c r="X12" s="2">
        <v>1</v>
      </c>
      <c r="AJ12" s="2">
        <f t="shared" si="0"/>
        <v>20250227</v>
      </c>
    </row>
    <row r="13" spans="1:37" x14ac:dyDescent="0.3">
      <c r="A13" s="2">
        <v>12</v>
      </c>
      <c r="B13" s="2" t="s">
        <v>88</v>
      </c>
      <c r="C13" s="2" t="s">
        <v>167</v>
      </c>
      <c r="D13" s="2" t="s">
        <v>242</v>
      </c>
      <c r="E13" s="2" t="s">
        <v>243</v>
      </c>
      <c r="F13" s="2" t="s">
        <v>287</v>
      </c>
      <c r="G13" s="2" t="s">
        <v>47</v>
      </c>
      <c r="H13" s="2" t="s">
        <v>48</v>
      </c>
      <c r="I13" s="2" t="s">
        <v>308</v>
      </c>
      <c r="J13" s="2" t="s">
        <v>309</v>
      </c>
      <c r="K13" s="3">
        <v>30</v>
      </c>
      <c r="L13" s="2">
        <v>145000</v>
      </c>
      <c r="M13" s="2">
        <v>145000</v>
      </c>
      <c r="N13" s="2" t="s">
        <v>346</v>
      </c>
      <c r="O13" s="2" t="s">
        <v>347</v>
      </c>
      <c r="P13" s="2" t="s">
        <v>44</v>
      </c>
      <c r="Q13" s="2" t="s">
        <v>212</v>
      </c>
      <c r="R13" s="2" t="s">
        <v>191</v>
      </c>
      <c r="S13" s="2">
        <v>20250227</v>
      </c>
      <c r="T13" s="2">
        <v>20270227</v>
      </c>
      <c r="U13" s="2">
        <v>70079</v>
      </c>
      <c r="V13" s="2">
        <v>1</v>
      </c>
      <c r="W13" s="2">
        <v>1</v>
      </c>
      <c r="X13" s="2">
        <v>1</v>
      </c>
      <c r="AJ13" s="2">
        <f t="shared" si="0"/>
        <v>20250227</v>
      </c>
    </row>
    <row r="14" spans="1:37" x14ac:dyDescent="0.3">
      <c r="A14" s="2">
        <v>13</v>
      </c>
      <c r="B14" s="2" t="s">
        <v>199</v>
      </c>
      <c r="C14" s="2" t="s">
        <v>200</v>
      </c>
      <c r="D14" s="2" t="s">
        <v>244</v>
      </c>
      <c r="E14" s="2" t="s">
        <v>36</v>
      </c>
      <c r="F14" s="2" t="s">
        <v>288</v>
      </c>
      <c r="G14" s="2" t="s">
        <v>37</v>
      </c>
      <c r="H14" s="2" t="s">
        <v>38</v>
      </c>
      <c r="I14" s="2" t="s">
        <v>45</v>
      </c>
      <c r="J14" s="2" t="s">
        <v>310</v>
      </c>
      <c r="K14" s="3">
        <v>300</v>
      </c>
      <c r="L14" s="2">
        <v>4180</v>
      </c>
      <c r="M14" s="2">
        <v>4180</v>
      </c>
      <c r="N14" s="2" t="s">
        <v>39</v>
      </c>
      <c r="O14" s="2" t="s">
        <v>194</v>
      </c>
      <c r="P14" s="2" t="s">
        <v>44</v>
      </c>
      <c r="Q14" s="2" t="s">
        <v>219</v>
      </c>
      <c r="R14" s="2" t="s">
        <v>190</v>
      </c>
      <c r="S14" s="2">
        <v>20250227</v>
      </c>
      <c r="T14" s="2">
        <v>20270227</v>
      </c>
      <c r="U14" s="2">
        <v>70079</v>
      </c>
      <c r="V14" s="2">
        <v>1</v>
      </c>
      <c r="W14" s="2">
        <v>1</v>
      </c>
      <c r="X14" s="2">
        <v>1</v>
      </c>
      <c r="AJ14" s="2">
        <f t="shared" si="0"/>
        <v>20250227</v>
      </c>
    </row>
    <row r="15" spans="1:37" x14ac:dyDescent="0.3">
      <c r="A15" s="2">
        <v>14</v>
      </c>
      <c r="B15" s="2" t="s">
        <v>143</v>
      </c>
      <c r="C15" s="2" t="s">
        <v>107</v>
      </c>
      <c r="D15" s="2" t="s">
        <v>245</v>
      </c>
      <c r="E15" s="2" t="s">
        <v>46</v>
      </c>
      <c r="F15" s="2" t="s">
        <v>289</v>
      </c>
      <c r="G15" s="2" t="s">
        <v>47</v>
      </c>
      <c r="H15" s="2" t="s">
        <v>48</v>
      </c>
      <c r="I15" s="2" t="s">
        <v>62</v>
      </c>
      <c r="J15" s="2" t="s">
        <v>311</v>
      </c>
      <c r="K15" s="3">
        <v>40</v>
      </c>
      <c r="L15" s="2">
        <v>11130</v>
      </c>
      <c r="M15" s="2">
        <v>11130</v>
      </c>
      <c r="N15" s="2" t="s">
        <v>348</v>
      </c>
      <c r="O15" s="2" t="s">
        <v>349</v>
      </c>
      <c r="P15" s="2" t="s">
        <v>44</v>
      </c>
      <c r="Q15" s="2" t="s">
        <v>374</v>
      </c>
      <c r="R15" s="2" t="s">
        <v>191</v>
      </c>
      <c r="S15" s="2">
        <v>20250227</v>
      </c>
      <c r="T15" s="2">
        <v>20270227</v>
      </c>
      <c r="U15" s="2">
        <v>70079</v>
      </c>
      <c r="V15" s="2">
        <v>1</v>
      </c>
      <c r="W15" s="2">
        <v>1</v>
      </c>
      <c r="X15" s="2">
        <v>1</v>
      </c>
      <c r="AJ15" s="2">
        <f t="shared" si="0"/>
        <v>20250227</v>
      </c>
    </row>
    <row r="16" spans="1:37" x14ac:dyDescent="0.3">
      <c r="A16" s="2">
        <v>15</v>
      </c>
      <c r="B16" s="2" t="s">
        <v>102</v>
      </c>
      <c r="C16" s="2" t="s">
        <v>224</v>
      </c>
      <c r="D16" s="2" t="s">
        <v>246</v>
      </c>
      <c r="E16" s="2" t="s">
        <v>36</v>
      </c>
      <c r="F16" s="2" t="s">
        <v>165</v>
      </c>
      <c r="G16" s="2" t="s">
        <v>37</v>
      </c>
      <c r="H16" s="2" t="s">
        <v>38</v>
      </c>
      <c r="I16" s="2" t="s">
        <v>58</v>
      </c>
      <c r="J16" s="2" t="s">
        <v>312</v>
      </c>
      <c r="K16" s="3">
        <v>1500</v>
      </c>
      <c r="L16" s="2">
        <v>1490</v>
      </c>
      <c r="M16" s="2">
        <v>1490</v>
      </c>
      <c r="N16" s="2" t="s">
        <v>56</v>
      </c>
      <c r="O16" s="2" t="s">
        <v>350</v>
      </c>
      <c r="P16" s="2" t="s">
        <v>44</v>
      </c>
      <c r="Q16" s="2" t="s">
        <v>185</v>
      </c>
      <c r="R16" s="2" t="s">
        <v>191</v>
      </c>
      <c r="S16" s="2">
        <v>20250227</v>
      </c>
      <c r="T16" s="2">
        <v>20270227</v>
      </c>
      <c r="U16" s="2">
        <v>70079</v>
      </c>
      <c r="V16" s="2">
        <v>1</v>
      </c>
      <c r="W16" s="2">
        <v>1</v>
      </c>
      <c r="X16" s="2">
        <v>1</v>
      </c>
      <c r="AJ16" s="2">
        <f t="shared" si="0"/>
        <v>20250227</v>
      </c>
    </row>
    <row r="17" spans="1:36" x14ac:dyDescent="0.3">
      <c r="A17" s="2">
        <v>16</v>
      </c>
      <c r="B17" s="2" t="s">
        <v>114</v>
      </c>
      <c r="C17" s="2" t="s">
        <v>115</v>
      </c>
      <c r="D17" s="2" t="s">
        <v>115</v>
      </c>
      <c r="E17" s="2" t="s">
        <v>36</v>
      </c>
      <c r="F17" s="2" t="s">
        <v>105</v>
      </c>
      <c r="G17" s="2" t="s">
        <v>37</v>
      </c>
      <c r="H17" s="2" t="s">
        <v>38</v>
      </c>
      <c r="I17" s="2" t="s">
        <v>53</v>
      </c>
      <c r="J17" s="2" t="s">
        <v>313</v>
      </c>
      <c r="K17" s="3">
        <v>500</v>
      </c>
      <c r="L17" s="2">
        <v>310</v>
      </c>
      <c r="M17" s="2">
        <v>310</v>
      </c>
      <c r="N17" s="2" t="s">
        <v>351</v>
      </c>
      <c r="O17" s="2" t="s">
        <v>352</v>
      </c>
      <c r="P17" s="2" t="s">
        <v>124</v>
      </c>
      <c r="Q17" s="2" t="s">
        <v>375</v>
      </c>
      <c r="R17" s="2" t="s">
        <v>191</v>
      </c>
      <c r="S17" s="2">
        <v>20250227</v>
      </c>
      <c r="T17" s="2">
        <v>20270227</v>
      </c>
      <c r="U17" s="2">
        <v>70079</v>
      </c>
      <c r="V17" s="2">
        <v>1</v>
      </c>
      <c r="W17" s="2">
        <v>1</v>
      </c>
      <c r="X17" s="2">
        <v>1</v>
      </c>
      <c r="AJ17" s="2">
        <f t="shared" si="0"/>
        <v>20250227</v>
      </c>
    </row>
    <row r="18" spans="1:36" x14ac:dyDescent="0.3">
      <c r="A18" s="2">
        <v>17</v>
      </c>
      <c r="B18" s="2" t="s">
        <v>61</v>
      </c>
      <c r="C18" s="2" t="s">
        <v>201</v>
      </c>
      <c r="D18" s="2" t="s">
        <v>247</v>
      </c>
      <c r="E18" s="2" t="s">
        <v>93</v>
      </c>
      <c r="F18" s="2" t="s">
        <v>290</v>
      </c>
      <c r="G18" s="2" t="s">
        <v>47</v>
      </c>
      <c r="H18" s="2" t="s">
        <v>48</v>
      </c>
      <c r="I18" s="2" t="s">
        <v>62</v>
      </c>
      <c r="J18" s="2" t="s">
        <v>314</v>
      </c>
      <c r="K18" s="3">
        <v>2016</v>
      </c>
      <c r="L18" s="2">
        <v>28900</v>
      </c>
      <c r="M18" s="2">
        <v>28900</v>
      </c>
      <c r="N18" s="2" t="s">
        <v>353</v>
      </c>
      <c r="O18" s="2" t="s">
        <v>354</v>
      </c>
      <c r="P18" s="2" t="s">
        <v>44</v>
      </c>
      <c r="Q18" s="2" t="s">
        <v>206</v>
      </c>
      <c r="R18" s="2" t="s">
        <v>186</v>
      </c>
      <c r="S18" s="2">
        <v>20250410</v>
      </c>
      <c r="T18" s="2">
        <v>20270227</v>
      </c>
      <c r="U18" s="2">
        <v>70079</v>
      </c>
      <c r="V18" s="2">
        <v>1</v>
      </c>
      <c r="W18" s="2">
        <v>1</v>
      </c>
      <c r="X18" s="2">
        <v>1</v>
      </c>
      <c r="AJ18" s="2">
        <f t="shared" si="0"/>
        <v>20250410</v>
      </c>
    </row>
    <row r="19" spans="1:36" x14ac:dyDescent="0.3">
      <c r="A19" s="2">
        <v>18</v>
      </c>
      <c r="B19" s="2" t="s">
        <v>118</v>
      </c>
      <c r="C19" s="2" t="s">
        <v>155</v>
      </c>
      <c r="D19" s="2" t="s">
        <v>248</v>
      </c>
      <c r="E19" s="2" t="s">
        <v>36</v>
      </c>
      <c r="F19" s="2" t="s">
        <v>105</v>
      </c>
      <c r="G19" s="2" t="s">
        <v>37</v>
      </c>
      <c r="H19" s="2" t="s">
        <v>38</v>
      </c>
      <c r="I19" s="2" t="s">
        <v>45</v>
      </c>
      <c r="J19" s="2" t="s">
        <v>315</v>
      </c>
      <c r="K19" s="3">
        <v>1200</v>
      </c>
      <c r="L19" s="2">
        <v>1145</v>
      </c>
      <c r="M19" s="2">
        <v>1145</v>
      </c>
      <c r="N19" s="2" t="s">
        <v>39</v>
      </c>
      <c r="O19" s="2" t="s">
        <v>97</v>
      </c>
      <c r="P19" s="2" t="s">
        <v>44</v>
      </c>
      <c r="Q19" s="2" t="s">
        <v>373</v>
      </c>
      <c r="R19" s="2" t="s">
        <v>189</v>
      </c>
      <c r="S19" s="2">
        <v>20250227</v>
      </c>
      <c r="T19" s="2">
        <v>20270227</v>
      </c>
      <c r="U19" s="2">
        <v>70079</v>
      </c>
      <c r="V19" s="2">
        <v>1</v>
      </c>
      <c r="W19" s="2">
        <v>1</v>
      </c>
      <c r="X19" s="2">
        <v>1</v>
      </c>
      <c r="AJ19" s="2">
        <f t="shared" si="0"/>
        <v>20250227</v>
      </c>
    </row>
    <row r="20" spans="1:36" x14ac:dyDescent="0.3">
      <c r="A20" s="2">
        <v>19</v>
      </c>
      <c r="B20" s="2" t="s">
        <v>104</v>
      </c>
      <c r="C20" s="2" t="s">
        <v>150</v>
      </c>
      <c r="D20" s="2" t="s">
        <v>151</v>
      </c>
      <c r="E20" s="2" t="s">
        <v>36</v>
      </c>
      <c r="F20" s="2" t="s">
        <v>105</v>
      </c>
      <c r="G20" s="2" t="s">
        <v>37</v>
      </c>
      <c r="H20" s="2" t="s">
        <v>38</v>
      </c>
      <c r="I20" s="2" t="s">
        <v>45</v>
      </c>
      <c r="J20" s="2" t="s">
        <v>152</v>
      </c>
      <c r="K20" s="3">
        <v>4500</v>
      </c>
      <c r="L20" s="2">
        <v>369</v>
      </c>
      <c r="M20" s="2">
        <v>369</v>
      </c>
      <c r="N20" s="2" t="s">
        <v>56</v>
      </c>
      <c r="O20" s="2" t="s">
        <v>97</v>
      </c>
      <c r="P20" s="2" t="s">
        <v>44</v>
      </c>
      <c r="Q20" s="2" t="s">
        <v>373</v>
      </c>
      <c r="R20" s="2" t="s">
        <v>190</v>
      </c>
      <c r="S20" s="2">
        <v>20250227</v>
      </c>
      <c r="T20" s="2">
        <v>20270227</v>
      </c>
      <c r="U20" s="2">
        <v>70079</v>
      </c>
      <c r="V20" s="2">
        <v>1</v>
      </c>
      <c r="W20" s="2">
        <v>1</v>
      </c>
      <c r="X20" s="2">
        <v>1</v>
      </c>
      <c r="AJ20" s="2">
        <f t="shared" si="0"/>
        <v>20250227</v>
      </c>
    </row>
    <row r="21" spans="1:36" x14ac:dyDescent="0.3">
      <c r="A21" s="2">
        <v>20</v>
      </c>
      <c r="B21" s="2" t="s">
        <v>157</v>
      </c>
      <c r="C21" s="2" t="s">
        <v>249</v>
      </c>
      <c r="D21" s="2" t="s">
        <v>250</v>
      </c>
      <c r="E21" s="2" t="s">
        <v>36</v>
      </c>
      <c r="F21" s="2" t="s">
        <v>68</v>
      </c>
      <c r="G21" s="2" t="s">
        <v>37</v>
      </c>
      <c r="H21" s="2" t="s">
        <v>38</v>
      </c>
      <c r="I21" s="2" t="s">
        <v>45</v>
      </c>
      <c r="J21" s="2" t="s">
        <v>316</v>
      </c>
      <c r="K21" s="3">
        <v>250</v>
      </c>
      <c r="L21" s="2">
        <v>1519</v>
      </c>
      <c r="M21" s="2">
        <v>1519</v>
      </c>
      <c r="N21" s="2" t="s">
        <v>56</v>
      </c>
      <c r="O21" s="2" t="s">
        <v>97</v>
      </c>
      <c r="P21" s="2" t="s">
        <v>44</v>
      </c>
      <c r="Q21" s="2" t="s">
        <v>373</v>
      </c>
      <c r="R21" s="2" t="s">
        <v>190</v>
      </c>
      <c r="S21" s="2">
        <v>20250227</v>
      </c>
      <c r="T21" s="2">
        <v>20270227</v>
      </c>
      <c r="U21" s="2">
        <v>70079</v>
      </c>
      <c r="V21" s="2">
        <v>1</v>
      </c>
      <c r="W21" s="2">
        <v>1</v>
      </c>
      <c r="X21" s="2">
        <v>1</v>
      </c>
      <c r="AJ21" s="2">
        <f t="shared" si="0"/>
        <v>20250227</v>
      </c>
    </row>
    <row r="22" spans="1:36" x14ac:dyDescent="0.3">
      <c r="A22" s="2">
        <v>21</v>
      </c>
      <c r="B22" s="2" t="s">
        <v>84</v>
      </c>
      <c r="C22" s="2" t="s">
        <v>85</v>
      </c>
      <c r="D22" s="2" t="s">
        <v>251</v>
      </c>
      <c r="E22" s="2" t="s">
        <v>36</v>
      </c>
      <c r="F22" s="2" t="s">
        <v>111</v>
      </c>
      <c r="G22" s="2" t="s">
        <v>37</v>
      </c>
      <c r="H22" s="2" t="s">
        <v>38</v>
      </c>
      <c r="I22" s="2" t="s">
        <v>86</v>
      </c>
      <c r="J22" s="2" t="s">
        <v>317</v>
      </c>
      <c r="K22" s="3">
        <v>600</v>
      </c>
      <c r="L22" s="2">
        <v>1890</v>
      </c>
      <c r="M22" s="2">
        <v>1890</v>
      </c>
      <c r="N22" s="2" t="s">
        <v>355</v>
      </c>
      <c r="O22" s="2" t="s">
        <v>97</v>
      </c>
      <c r="P22" s="2" t="s">
        <v>44</v>
      </c>
      <c r="Q22" s="2" t="s">
        <v>373</v>
      </c>
      <c r="R22" s="2" t="s">
        <v>190</v>
      </c>
      <c r="S22" s="2">
        <v>20250227</v>
      </c>
      <c r="T22" s="2">
        <v>20270227</v>
      </c>
      <c r="U22" s="2">
        <v>70079</v>
      </c>
      <c r="V22" s="2">
        <v>1</v>
      </c>
      <c r="W22" s="2">
        <v>1</v>
      </c>
      <c r="X22" s="2">
        <v>1</v>
      </c>
      <c r="AJ22" s="2">
        <f t="shared" si="0"/>
        <v>20250227</v>
      </c>
    </row>
    <row r="23" spans="1:36" x14ac:dyDescent="0.3">
      <c r="A23" s="2">
        <v>22</v>
      </c>
      <c r="B23" s="2" t="s">
        <v>126</v>
      </c>
      <c r="C23" s="2" t="s">
        <v>127</v>
      </c>
      <c r="D23" s="2" t="s">
        <v>161</v>
      </c>
      <c r="E23" s="2" t="s">
        <v>36</v>
      </c>
      <c r="F23" s="2" t="s">
        <v>71</v>
      </c>
      <c r="G23" s="2" t="s">
        <v>37</v>
      </c>
      <c r="H23" s="2" t="s">
        <v>38</v>
      </c>
      <c r="I23" s="2" t="s">
        <v>45</v>
      </c>
      <c r="J23" s="2" t="s">
        <v>318</v>
      </c>
      <c r="K23" s="3">
        <v>1200</v>
      </c>
      <c r="L23" s="2">
        <v>649</v>
      </c>
      <c r="M23" s="2">
        <v>649</v>
      </c>
      <c r="N23" s="2" t="s">
        <v>39</v>
      </c>
      <c r="O23" s="2" t="s">
        <v>97</v>
      </c>
      <c r="P23" s="2" t="s">
        <v>44</v>
      </c>
      <c r="Q23" s="2" t="s">
        <v>373</v>
      </c>
      <c r="R23" s="2" t="s">
        <v>190</v>
      </c>
      <c r="S23" s="2">
        <v>20250227</v>
      </c>
      <c r="T23" s="2">
        <v>20270227</v>
      </c>
      <c r="U23" s="2">
        <v>70079</v>
      </c>
      <c r="V23" s="2">
        <v>1</v>
      </c>
      <c r="W23" s="2">
        <v>1</v>
      </c>
      <c r="X23" s="2">
        <v>1</v>
      </c>
      <c r="AJ23" s="2">
        <f t="shared" si="0"/>
        <v>20250227</v>
      </c>
    </row>
    <row r="24" spans="1:36" x14ac:dyDescent="0.3">
      <c r="A24" s="2">
        <v>23</v>
      </c>
      <c r="B24" s="2" t="s">
        <v>138</v>
      </c>
      <c r="C24" s="2" t="s">
        <v>139</v>
      </c>
      <c r="D24" s="2" t="s">
        <v>173</v>
      </c>
      <c r="E24" s="2" t="s">
        <v>76</v>
      </c>
      <c r="F24" s="2" t="s">
        <v>174</v>
      </c>
      <c r="G24" s="2" t="s">
        <v>175</v>
      </c>
      <c r="H24" s="2" t="s">
        <v>176</v>
      </c>
      <c r="I24" s="2" t="s">
        <v>177</v>
      </c>
      <c r="J24" s="2" t="s">
        <v>319</v>
      </c>
      <c r="K24" s="3">
        <v>90</v>
      </c>
      <c r="L24" s="2">
        <v>8600</v>
      </c>
      <c r="M24" s="2">
        <v>8600</v>
      </c>
      <c r="N24" s="2" t="s">
        <v>178</v>
      </c>
      <c r="O24" s="2" t="s">
        <v>179</v>
      </c>
      <c r="P24" s="2" t="s">
        <v>100</v>
      </c>
      <c r="Q24" s="2" t="s">
        <v>214</v>
      </c>
      <c r="R24" s="2" t="s">
        <v>195</v>
      </c>
      <c r="S24" s="2">
        <v>20250920</v>
      </c>
      <c r="T24" s="2">
        <v>20270227</v>
      </c>
      <c r="U24" s="2">
        <v>70079</v>
      </c>
      <c r="V24" s="2">
        <v>1</v>
      </c>
      <c r="W24" s="2">
        <v>1</v>
      </c>
      <c r="X24" s="2">
        <v>1</v>
      </c>
      <c r="AJ24" s="2">
        <f t="shared" si="0"/>
        <v>20250920</v>
      </c>
    </row>
    <row r="25" spans="1:36" x14ac:dyDescent="0.3">
      <c r="A25" s="2">
        <v>24</v>
      </c>
      <c r="B25" s="2" t="s">
        <v>98</v>
      </c>
      <c r="C25" s="2" t="s">
        <v>116</v>
      </c>
      <c r="D25" s="2" t="s">
        <v>252</v>
      </c>
      <c r="E25" s="2" t="s">
        <v>36</v>
      </c>
      <c r="F25" s="2" t="s">
        <v>80</v>
      </c>
      <c r="G25" s="2" t="s">
        <v>37</v>
      </c>
      <c r="H25" s="2" t="s">
        <v>38</v>
      </c>
      <c r="I25" s="2" t="s">
        <v>113</v>
      </c>
      <c r="J25" s="2" t="s">
        <v>320</v>
      </c>
      <c r="K25" s="3">
        <v>1500</v>
      </c>
      <c r="L25" s="2">
        <v>651</v>
      </c>
      <c r="M25" s="2">
        <v>651</v>
      </c>
      <c r="N25" s="2" t="s">
        <v>59</v>
      </c>
      <c r="O25" s="2" t="s">
        <v>87</v>
      </c>
      <c r="P25" s="2" t="s">
        <v>44</v>
      </c>
      <c r="Q25" s="2" t="s">
        <v>208</v>
      </c>
      <c r="R25" s="2" t="s">
        <v>195</v>
      </c>
      <c r="S25" s="2">
        <v>20250227</v>
      </c>
      <c r="T25" s="2">
        <v>20270227</v>
      </c>
      <c r="U25" s="2">
        <v>70079</v>
      </c>
      <c r="V25" s="2">
        <v>1</v>
      </c>
      <c r="W25" s="2">
        <v>1</v>
      </c>
      <c r="X25" s="2">
        <v>1</v>
      </c>
      <c r="AJ25" s="2">
        <f t="shared" si="0"/>
        <v>20250227</v>
      </c>
    </row>
    <row r="26" spans="1:36" x14ac:dyDescent="0.3">
      <c r="A26" s="2">
        <v>25</v>
      </c>
      <c r="B26" s="2" t="s">
        <v>162</v>
      </c>
      <c r="C26" s="2" t="s">
        <v>210</v>
      </c>
      <c r="D26" s="2" t="s">
        <v>253</v>
      </c>
      <c r="E26" s="2" t="s">
        <v>36</v>
      </c>
      <c r="F26" s="2" t="s">
        <v>81</v>
      </c>
      <c r="G26" s="2" t="s">
        <v>37</v>
      </c>
      <c r="H26" s="2" t="s">
        <v>38</v>
      </c>
      <c r="I26" s="2" t="s">
        <v>158</v>
      </c>
      <c r="J26" s="2" t="s">
        <v>321</v>
      </c>
      <c r="K26" s="3">
        <v>1200</v>
      </c>
      <c r="L26" s="2">
        <v>3000</v>
      </c>
      <c r="M26" s="2">
        <v>3000</v>
      </c>
      <c r="N26" s="2" t="s">
        <v>67</v>
      </c>
      <c r="O26" s="2" t="s">
        <v>350</v>
      </c>
      <c r="P26" s="2" t="s">
        <v>44</v>
      </c>
      <c r="Q26" s="2" t="s">
        <v>376</v>
      </c>
      <c r="R26" s="2" t="s">
        <v>191</v>
      </c>
      <c r="S26" s="2">
        <v>20250227</v>
      </c>
      <c r="T26" s="2">
        <v>20270227</v>
      </c>
      <c r="U26" s="2">
        <v>70079</v>
      </c>
      <c r="V26" s="2">
        <v>1</v>
      </c>
      <c r="W26" s="2">
        <v>1</v>
      </c>
      <c r="X26" s="2">
        <v>1</v>
      </c>
      <c r="AJ26" s="2">
        <f t="shared" si="0"/>
        <v>20250227</v>
      </c>
    </row>
    <row r="27" spans="1:36" x14ac:dyDescent="0.3">
      <c r="A27" s="2">
        <v>26</v>
      </c>
      <c r="B27" s="2" t="s">
        <v>103</v>
      </c>
      <c r="C27" s="2" t="s">
        <v>211</v>
      </c>
      <c r="D27" s="2" t="s">
        <v>254</v>
      </c>
      <c r="E27" s="2" t="s">
        <v>46</v>
      </c>
      <c r="F27" s="2" t="s">
        <v>291</v>
      </c>
      <c r="G27" s="2" t="s">
        <v>37</v>
      </c>
      <c r="H27" s="2" t="s">
        <v>38</v>
      </c>
      <c r="I27" s="2" t="s">
        <v>77</v>
      </c>
      <c r="J27" s="2" t="s">
        <v>322</v>
      </c>
      <c r="K27" s="3">
        <v>30</v>
      </c>
      <c r="L27" s="2">
        <v>27500</v>
      </c>
      <c r="M27" s="2">
        <v>27500</v>
      </c>
      <c r="N27" s="2" t="s">
        <v>356</v>
      </c>
      <c r="O27" s="2" t="s">
        <v>350</v>
      </c>
      <c r="P27" s="2" t="s">
        <v>44</v>
      </c>
      <c r="Q27" s="2" t="s">
        <v>377</v>
      </c>
      <c r="R27" s="2" t="s">
        <v>191</v>
      </c>
      <c r="S27" s="2">
        <v>20250227</v>
      </c>
      <c r="T27" s="2">
        <v>20270227</v>
      </c>
      <c r="U27" s="2">
        <v>70079</v>
      </c>
      <c r="V27" s="2">
        <v>1</v>
      </c>
      <c r="W27" s="2">
        <v>1</v>
      </c>
      <c r="X27" s="2">
        <v>1</v>
      </c>
      <c r="AJ27" s="2">
        <f t="shared" si="0"/>
        <v>20250227</v>
      </c>
    </row>
    <row r="28" spans="1:36" x14ac:dyDescent="0.3">
      <c r="A28" s="2">
        <v>27</v>
      </c>
      <c r="B28" s="2" t="s">
        <v>122</v>
      </c>
      <c r="C28" s="2" t="s">
        <v>204</v>
      </c>
      <c r="D28" s="2" t="s">
        <v>123</v>
      </c>
      <c r="E28" s="2" t="s">
        <v>76</v>
      </c>
      <c r="F28" s="2" t="s">
        <v>205</v>
      </c>
      <c r="G28" s="2" t="s">
        <v>41</v>
      </c>
      <c r="H28" s="2" t="s">
        <v>42</v>
      </c>
      <c r="I28" s="2" t="s">
        <v>43</v>
      </c>
      <c r="J28" s="2" t="s">
        <v>323</v>
      </c>
      <c r="K28" s="3">
        <v>400</v>
      </c>
      <c r="L28" s="2">
        <v>1890</v>
      </c>
      <c r="M28" s="2">
        <v>1890</v>
      </c>
      <c r="N28" s="2" t="s">
        <v>119</v>
      </c>
      <c r="O28" s="2" t="s">
        <v>110</v>
      </c>
      <c r="P28" s="2" t="s">
        <v>44</v>
      </c>
      <c r="Q28" s="2" t="s">
        <v>198</v>
      </c>
      <c r="R28" s="2" t="s">
        <v>191</v>
      </c>
      <c r="S28" s="2">
        <v>20250227</v>
      </c>
      <c r="T28" s="2">
        <v>20270227</v>
      </c>
      <c r="U28" s="2">
        <v>70079</v>
      </c>
      <c r="V28" s="2">
        <v>1</v>
      </c>
      <c r="W28" s="2">
        <v>1</v>
      </c>
      <c r="X28" s="2">
        <v>1</v>
      </c>
      <c r="AJ28" s="2">
        <f t="shared" si="0"/>
        <v>20250227</v>
      </c>
    </row>
    <row r="29" spans="1:36" x14ac:dyDescent="0.3">
      <c r="A29" s="2">
        <v>28</v>
      </c>
      <c r="B29" s="2" t="s">
        <v>255</v>
      </c>
      <c r="C29" s="2" t="s">
        <v>256</v>
      </c>
      <c r="D29" s="2" t="s">
        <v>257</v>
      </c>
      <c r="E29" s="2" t="s">
        <v>36</v>
      </c>
      <c r="F29" s="2" t="s">
        <v>292</v>
      </c>
      <c r="G29" s="2" t="s">
        <v>37</v>
      </c>
      <c r="H29" s="2" t="s">
        <v>38</v>
      </c>
      <c r="I29" s="2" t="s">
        <v>55</v>
      </c>
      <c r="J29" s="2" t="s">
        <v>324</v>
      </c>
      <c r="K29" s="3">
        <v>500</v>
      </c>
      <c r="L29" s="2">
        <v>1800</v>
      </c>
      <c r="M29" s="2">
        <v>1800</v>
      </c>
      <c r="N29" s="2" t="s">
        <v>357</v>
      </c>
      <c r="O29" s="2" t="s">
        <v>164</v>
      </c>
      <c r="P29" s="2" t="s">
        <v>44</v>
      </c>
      <c r="Q29" s="2" t="s">
        <v>196</v>
      </c>
      <c r="R29" s="2" t="s">
        <v>192</v>
      </c>
      <c r="S29" s="2">
        <v>20250227</v>
      </c>
      <c r="T29" s="2">
        <v>20270227</v>
      </c>
      <c r="U29" s="2">
        <v>70079</v>
      </c>
      <c r="V29" s="2">
        <v>2</v>
      </c>
      <c r="W29" s="2">
        <v>1</v>
      </c>
      <c r="X29" s="2">
        <v>1</v>
      </c>
      <c r="AJ29" s="2">
        <f t="shared" si="0"/>
        <v>20250227</v>
      </c>
    </row>
    <row r="30" spans="1:36" x14ac:dyDescent="0.3">
      <c r="A30" s="2">
        <v>29</v>
      </c>
      <c r="B30" s="2" t="s">
        <v>258</v>
      </c>
      <c r="C30" s="2" t="s">
        <v>259</v>
      </c>
      <c r="D30" s="2" t="s">
        <v>260</v>
      </c>
      <c r="E30" s="2" t="s">
        <v>36</v>
      </c>
      <c r="F30" s="2" t="s">
        <v>293</v>
      </c>
      <c r="G30" s="2" t="s">
        <v>37</v>
      </c>
      <c r="H30" s="2" t="s">
        <v>38</v>
      </c>
      <c r="I30" s="2" t="s">
        <v>45</v>
      </c>
      <c r="J30" s="2" t="s">
        <v>325</v>
      </c>
      <c r="K30" s="3">
        <v>500</v>
      </c>
      <c r="L30" s="3">
        <v>240</v>
      </c>
      <c r="M30" s="2">
        <v>240</v>
      </c>
      <c r="N30" s="2" t="s">
        <v>358</v>
      </c>
      <c r="O30" s="2" t="s">
        <v>164</v>
      </c>
      <c r="P30" s="2" t="s">
        <v>44</v>
      </c>
      <c r="Q30" s="2" t="s">
        <v>196</v>
      </c>
      <c r="R30" s="2" t="s">
        <v>192</v>
      </c>
      <c r="S30" s="2">
        <v>20250227</v>
      </c>
      <c r="T30" s="2">
        <v>20270227</v>
      </c>
      <c r="U30" s="2">
        <v>70079</v>
      </c>
      <c r="V30" s="2">
        <v>2</v>
      </c>
      <c r="W30" s="2">
        <v>1</v>
      </c>
      <c r="X30" s="2">
        <v>1</v>
      </c>
      <c r="AJ30" s="2">
        <f t="shared" si="0"/>
        <v>20250227</v>
      </c>
    </row>
    <row r="31" spans="1:36" x14ac:dyDescent="0.3">
      <c r="A31" s="2">
        <v>30</v>
      </c>
      <c r="B31" s="2" t="s">
        <v>78</v>
      </c>
      <c r="C31" s="2" t="s">
        <v>79</v>
      </c>
      <c r="D31" s="2" t="s">
        <v>261</v>
      </c>
      <c r="E31" s="2" t="s">
        <v>262</v>
      </c>
      <c r="F31" s="2" t="s">
        <v>294</v>
      </c>
      <c r="G31" s="2" t="s">
        <v>37</v>
      </c>
      <c r="H31" s="2" t="s">
        <v>38</v>
      </c>
      <c r="I31" s="2" t="s">
        <v>133</v>
      </c>
      <c r="J31" s="2" t="s">
        <v>326</v>
      </c>
      <c r="K31" s="3">
        <v>300</v>
      </c>
      <c r="L31" s="2">
        <v>4800</v>
      </c>
      <c r="M31" s="2">
        <v>4800</v>
      </c>
      <c r="N31" s="2" t="s">
        <v>134</v>
      </c>
      <c r="O31" s="2" t="s">
        <v>163</v>
      </c>
      <c r="P31" s="2" t="s">
        <v>44</v>
      </c>
      <c r="Q31" s="2" t="s">
        <v>378</v>
      </c>
      <c r="R31" s="2" t="s">
        <v>191</v>
      </c>
      <c r="S31" s="2">
        <v>20250227</v>
      </c>
      <c r="T31" s="2">
        <v>20270227</v>
      </c>
      <c r="U31" s="2">
        <v>70079</v>
      </c>
      <c r="V31" s="2">
        <v>1</v>
      </c>
      <c r="W31" s="2">
        <v>1</v>
      </c>
      <c r="X31" s="2">
        <v>1</v>
      </c>
      <c r="AJ31" s="2">
        <f t="shared" si="0"/>
        <v>20250227</v>
      </c>
    </row>
    <row r="32" spans="1:36" x14ac:dyDescent="0.3">
      <c r="A32" s="2">
        <v>31</v>
      </c>
      <c r="B32" s="2" t="s">
        <v>263</v>
      </c>
      <c r="C32" s="2" t="s">
        <v>130</v>
      </c>
      <c r="D32" s="2" t="s">
        <v>264</v>
      </c>
      <c r="E32" s="2" t="s">
        <v>76</v>
      </c>
      <c r="F32" s="2" t="s">
        <v>295</v>
      </c>
      <c r="G32" s="2" t="s">
        <v>41</v>
      </c>
      <c r="H32" s="2" t="s">
        <v>42</v>
      </c>
      <c r="I32" s="2" t="s">
        <v>43</v>
      </c>
      <c r="J32" s="2" t="s">
        <v>327</v>
      </c>
      <c r="K32" s="3">
        <v>30</v>
      </c>
      <c r="L32" s="2">
        <v>31500</v>
      </c>
      <c r="M32" s="2">
        <v>31500</v>
      </c>
      <c r="N32" s="2" t="s">
        <v>359</v>
      </c>
      <c r="O32" s="2" t="s">
        <v>360</v>
      </c>
      <c r="P32" s="2" t="s">
        <v>44</v>
      </c>
      <c r="Q32" s="2" t="s">
        <v>379</v>
      </c>
      <c r="R32" s="2" t="s">
        <v>191</v>
      </c>
      <c r="S32" s="2">
        <v>20250227</v>
      </c>
      <c r="T32" s="2">
        <v>20270227</v>
      </c>
      <c r="U32" s="2">
        <v>70079</v>
      </c>
      <c r="V32" s="2">
        <v>1</v>
      </c>
      <c r="W32" s="2">
        <v>1</v>
      </c>
      <c r="X32" s="2">
        <v>1</v>
      </c>
      <c r="AJ32" s="2">
        <f t="shared" si="0"/>
        <v>20250227</v>
      </c>
    </row>
    <row r="33" spans="1:36" x14ac:dyDescent="0.3">
      <c r="A33" s="2">
        <v>32</v>
      </c>
      <c r="B33" s="2" t="s">
        <v>92</v>
      </c>
      <c r="C33" s="2" t="s">
        <v>141</v>
      </c>
      <c r="D33" s="2" t="s">
        <v>265</v>
      </c>
      <c r="E33" s="2" t="s">
        <v>36</v>
      </c>
      <c r="F33" s="2" t="s">
        <v>71</v>
      </c>
      <c r="G33" s="2" t="s">
        <v>37</v>
      </c>
      <c r="H33" s="2" t="s">
        <v>38</v>
      </c>
      <c r="I33" s="2" t="s">
        <v>45</v>
      </c>
      <c r="J33" s="2" t="s">
        <v>328</v>
      </c>
      <c r="K33" s="3">
        <v>1200</v>
      </c>
      <c r="L33" s="2">
        <v>410</v>
      </c>
      <c r="M33" s="2">
        <v>410</v>
      </c>
      <c r="N33" s="2" t="s">
        <v>361</v>
      </c>
      <c r="O33" s="2" t="s">
        <v>187</v>
      </c>
      <c r="P33" s="2" t="s">
        <v>44</v>
      </c>
      <c r="Q33" s="2" t="s">
        <v>188</v>
      </c>
      <c r="R33" s="2" t="s">
        <v>189</v>
      </c>
      <c r="S33" s="2">
        <v>20250227</v>
      </c>
      <c r="T33" s="2">
        <v>20270227</v>
      </c>
      <c r="U33" s="2">
        <v>70079</v>
      </c>
      <c r="V33" s="2">
        <v>1</v>
      </c>
      <c r="W33" s="2">
        <v>1</v>
      </c>
      <c r="X33" s="2">
        <v>1</v>
      </c>
      <c r="AJ33" s="2">
        <f t="shared" si="0"/>
        <v>20250227</v>
      </c>
    </row>
    <row r="34" spans="1:36" x14ac:dyDescent="0.3">
      <c r="A34" s="2">
        <v>33</v>
      </c>
      <c r="B34" s="2" t="s">
        <v>120</v>
      </c>
      <c r="C34" s="2" t="s">
        <v>121</v>
      </c>
      <c r="D34" s="2" t="s">
        <v>266</v>
      </c>
      <c r="E34" s="2" t="s">
        <v>36</v>
      </c>
      <c r="F34" s="2" t="s">
        <v>71</v>
      </c>
      <c r="G34" s="2" t="s">
        <v>37</v>
      </c>
      <c r="H34" s="2" t="s">
        <v>38</v>
      </c>
      <c r="I34" s="2" t="s">
        <v>53</v>
      </c>
      <c r="J34" s="2" t="s">
        <v>329</v>
      </c>
      <c r="K34" s="3">
        <v>1800</v>
      </c>
      <c r="L34" s="2">
        <v>250</v>
      </c>
      <c r="M34" s="2">
        <v>250</v>
      </c>
      <c r="N34" s="2" t="s">
        <v>209</v>
      </c>
      <c r="O34" s="2" t="s">
        <v>153</v>
      </c>
      <c r="P34" s="2" t="s">
        <v>44</v>
      </c>
      <c r="Q34" s="2" t="s">
        <v>185</v>
      </c>
      <c r="R34" s="2" t="s">
        <v>191</v>
      </c>
      <c r="S34" s="2">
        <v>20250926</v>
      </c>
      <c r="T34" s="2">
        <v>20270227</v>
      </c>
      <c r="U34" s="2">
        <v>70079</v>
      </c>
      <c r="V34" s="2">
        <v>1</v>
      </c>
      <c r="W34" s="2">
        <v>1</v>
      </c>
      <c r="X34" s="2">
        <v>1</v>
      </c>
      <c r="AJ34" s="2">
        <f t="shared" si="0"/>
        <v>20250926</v>
      </c>
    </row>
    <row r="35" spans="1:36" x14ac:dyDescent="0.3">
      <c r="A35" s="2">
        <v>34</v>
      </c>
      <c r="B35" s="2" t="s">
        <v>135</v>
      </c>
      <c r="C35" s="2" t="s">
        <v>137</v>
      </c>
      <c r="D35" s="2" t="s">
        <v>267</v>
      </c>
      <c r="E35" s="2" t="s">
        <v>36</v>
      </c>
      <c r="F35" s="2" t="s">
        <v>136</v>
      </c>
      <c r="G35" s="2" t="s">
        <v>37</v>
      </c>
      <c r="H35" s="2" t="s">
        <v>38</v>
      </c>
      <c r="I35" s="2" t="s">
        <v>45</v>
      </c>
      <c r="J35" s="2" t="s">
        <v>330</v>
      </c>
      <c r="K35" s="3">
        <v>960</v>
      </c>
      <c r="L35" s="2">
        <v>2500</v>
      </c>
      <c r="M35" s="2">
        <v>2500</v>
      </c>
      <c r="N35" s="2" t="s">
        <v>67</v>
      </c>
      <c r="O35" s="2" t="s">
        <v>221</v>
      </c>
      <c r="P35" s="2" t="s">
        <v>44</v>
      </c>
      <c r="Q35" s="2" t="s">
        <v>185</v>
      </c>
      <c r="R35" s="2" t="s">
        <v>190</v>
      </c>
      <c r="S35" s="2">
        <v>20250227</v>
      </c>
      <c r="T35" s="2">
        <v>20270227</v>
      </c>
      <c r="U35" s="2">
        <v>70079</v>
      </c>
      <c r="V35" s="2">
        <v>1</v>
      </c>
      <c r="W35" s="2">
        <v>1</v>
      </c>
      <c r="X35" s="2">
        <v>1</v>
      </c>
      <c r="AJ35" s="2">
        <f t="shared" si="0"/>
        <v>20250227</v>
      </c>
    </row>
    <row r="36" spans="1:36" x14ac:dyDescent="0.3">
      <c r="A36" s="2">
        <v>35</v>
      </c>
      <c r="B36" s="2" t="s">
        <v>101</v>
      </c>
      <c r="C36" s="2" t="s">
        <v>268</v>
      </c>
      <c r="D36" s="2" t="s">
        <v>269</v>
      </c>
      <c r="E36" s="2" t="s">
        <v>36</v>
      </c>
      <c r="F36" s="2" t="s">
        <v>71</v>
      </c>
      <c r="G36" s="2" t="s">
        <v>37</v>
      </c>
      <c r="H36" s="2" t="s">
        <v>38</v>
      </c>
      <c r="I36" s="2" t="s">
        <v>53</v>
      </c>
      <c r="J36" s="2" t="s">
        <v>331</v>
      </c>
      <c r="K36" s="3">
        <v>600</v>
      </c>
      <c r="L36" s="2">
        <v>1690</v>
      </c>
      <c r="M36" s="2">
        <v>1690</v>
      </c>
      <c r="N36" s="2" t="s">
        <v>362</v>
      </c>
      <c r="O36" s="2" t="s">
        <v>363</v>
      </c>
      <c r="P36" s="2" t="s">
        <v>44</v>
      </c>
      <c r="Q36" s="2" t="s">
        <v>185</v>
      </c>
      <c r="R36" s="2" t="s">
        <v>191</v>
      </c>
      <c r="S36" s="2">
        <v>20250227</v>
      </c>
      <c r="T36" s="2">
        <v>20270227</v>
      </c>
      <c r="U36" s="2">
        <v>70079</v>
      </c>
      <c r="V36" s="2">
        <v>1</v>
      </c>
      <c r="W36" s="2">
        <v>1</v>
      </c>
      <c r="X36" s="2">
        <v>1</v>
      </c>
      <c r="AJ36" s="2">
        <f t="shared" si="0"/>
        <v>20250227</v>
      </c>
    </row>
    <row r="37" spans="1:36" x14ac:dyDescent="0.3">
      <c r="A37" s="2">
        <v>36</v>
      </c>
      <c r="B37" s="4" t="s">
        <v>168</v>
      </c>
      <c r="C37" s="4" t="s">
        <v>270</v>
      </c>
      <c r="D37" s="4" t="s">
        <v>271</v>
      </c>
      <c r="E37" s="4" t="s">
        <v>112</v>
      </c>
      <c r="F37" s="4" t="s">
        <v>169</v>
      </c>
      <c r="G37" s="4" t="s">
        <v>41</v>
      </c>
      <c r="H37" s="4" t="s">
        <v>42</v>
      </c>
      <c r="I37" s="4" t="s">
        <v>170</v>
      </c>
      <c r="J37" s="4" t="s">
        <v>171</v>
      </c>
      <c r="K37" s="5">
        <v>10</v>
      </c>
      <c r="L37" s="4">
        <v>194500</v>
      </c>
      <c r="M37" s="4">
        <v>194500</v>
      </c>
      <c r="N37" s="4" t="s">
        <v>172</v>
      </c>
      <c r="O37" s="4" t="s">
        <v>89</v>
      </c>
      <c r="P37" s="4" t="s">
        <v>52</v>
      </c>
      <c r="Q37" s="4" t="s">
        <v>197</v>
      </c>
      <c r="R37" s="4" t="s">
        <v>195</v>
      </c>
      <c r="S37" s="4">
        <v>20250227</v>
      </c>
      <c r="T37" s="4">
        <v>20270227</v>
      </c>
      <c r="U37" s="4">
        <v>70079</v>
      </c>
      <c r="V37" s="4">
        <v>1</v>
      </c>
      <c r="W37" s="4">
        <v>1</v>
      </c>
      <c r="X37" s="4">
        <v>1</v>
      </c>
      <c r="AJ37" s="2">
        <f t="shared" si="0"/>
        <v>20250227</v>
      </c>
    </row>
    <row r="38" spans="1:36" x14ac:dyDescent="0.3">
      <c r="A38" s="2">
        <v>37</v>
      </c>
      <c r="B38" s="2" t="s">
        <v>82</v>
      </c>
      <c r="C38" s="2" t="s">
        <v>83</v>
      </c>
      <c r="D38" s="2" t="s">
        <v>272</v>
      </c>
      <c r="E38" s="2" t="s">
        <v>76</v>
      </c>
      <c r="F38" s="2" t="s">
        <v>108</v>
      </c>
      <c r="G38" s="2" t="s">
        <v>41</v>
      </c>
      <c r="H38" s="2" t="s">
        <v>42</v>
      </c>
      <c r="I38" s="2" t="s">
        <v>166</v>
      </c>
      <c r="J38" s="2" t="s">
        <v>332</v>
      </c>
      <c r="K38" s="3">
        <v>150</v>
      </c>
      <c r="L38" s="2">
        <v>18066</v>
      </c>
      <c r="M38" s="2">
        <v>18066</v>
      </c>
      <c r="N38" s="2" t="s">
        <v>364</v>
      </c>
      <c r="O38" s="2" t="s">
        <v>365</v>
      </c>
      <c r="P38" s="2" t="s">
        <v>50</v>
      </c>
      <c r="Q38" s="2" t="s">
        <v>197</v>
      </c>
      <c r="R38" s="2" t="s">
        <v>207</v>
      </c>
      <c r="S38" s="2">
        <v>20250227</v>
      </c>
      <c r="T38" s="2">
        <v>20270227</v>
      </c>
      <c r="U38" s="2">
        <v>70079</v>
      </c>
      <c r="V38" s="2">
        <v>1</v>
      </c>
      <c r="W38" s="2">
        <v>1</v>
      </c>
      <c r="X38" s="2">
        <v>1</v>
      </c>
      <c r="AJ38" s="2">
        <f t="shared" si="0"/>
        <v>20250227</v>
      </c>
    </row>
    <row r="39" spans="1:36" x14ac:dyDescent="0.3">
      <c r="A39" s="2">
        <v>38</v>
      </c>
      <c r="B39" s="2" t="s">
        <v>156</v>
      </c>
      <c r="C39" s="2" t="s">
        <v>203</v>
      </c>
      <c r="D39" s="2" t="s">
        <v>273</v>
      </c>
      <c r="E39" s="2" t="s">
        <v>36</v>
      </c>
      <c r="F39" s="2" t="s">
        <v>57</v>
      </c>
      <c r="G39" s="2" t="s">
        <v>37</v>
      </c>
      <c r="H39" s="2" t="s">
        <v>38</v>
      </c>
      <c r="I39" s="2" t="s">
        <v>53</v>
      </c>
      <c r="J39" s="2" t="s">
        <v>333</v>
      </c>
      <c r="K39" s="3">
        <v>2100</v>
      </c>
      <c r="L39" s="2">
        <v>4612</v>
      </c>
      <c r="M39" s="2">
        <v>4612</v>
      </c>
      <c r="N39" s="2" t="s">
        <v>39</v>
      </c>
      <c r="O39" s="2" t="s">
        <v>366</v>
      </c>
      <c r="P39" s="2" t="s">
        <v>52</v>
      </c>
      <c r="Q39" s="2" t="s">
        <v>197</v>
      </c>
      <c r="R39" s="2" t="s">
        <v>195</v>
      </c>
      <c r="S39" s="2">
        <v>20251210</v>
      </c>
      <c r="T39" s="2">
        <v>20270227</v>
      </c>
      <c r="U39" s="2">
        <v>70079</v>
      </c>
      <c r="V39" s="2">
        <v>1</v>
      </c>
      <c r="W39" s="2">
        <v>1</v>
      </c>
      <c r="X39" s="2">
        <v>1</v>
      </c>
      <c r="AJ39" s="2">
        <f t="shared" si="0"/>
        <v>20251210</v>
      </c>
    </row>
    <row r="40" spans="1:36" x14ac:dyDescent="0.3">
      <c r="A40" s="2">
        <v>39</v>
      </c>
      <c r="B40" s="2" t="s">
        <v>274</v>
      </c>
      <c r="C40" s="2" t="s">
        <v>275</v>
      </c>
      <c r="D40" s="2" t="s">
        <v>276</v>
      </c>
      <c r="E40" s="2" t="s">
        <v>36</v>
      </c>
      <c r="F40" s="2" t="s">
        <v>296</v>
      </c>
      <c r="G40" s="2" t="s">
        <v>37</v>
      </c>
      <c r="H40" s="2" t="s">
        <v>38</v>
      </c>
      <c r="I40" s="2" t="s">
        <v>55</v>
      </c>
      <c r="J40" s="2" t="s">
        <v>334</v>
      </c>
      <c r="K40" s="3">
        <v>900</v>
      </c>
      <c r="L40" s="2">
        <v>1278</v>
      </c>
      <c r="M40" s="2">
        <v>1278</v>
      </c>
      <c r="N40" s="2" t="s">
        <v>367</v>
      </c>
      <c r="O40" s="2" t="s">
        <v>368</v>
      </c>
      <c r="P40" s="2" t="s">
        <v>44</v>
      </c>
      <c r="Q40" s="2" t="s">
        <v>220</v>
      </c>
      <c r="R40" s="2" t="s">
        <v>193</v>
      </c>
      <c r="S40" s="2">
        <v>20250227</v>
      </c>
      <c r="T40" s="2">
        <v>20270227</v>
      </c>
      <c r="U40" s="2">
        <v>70079</v>
      </c>
      <c r="V40" s="2">
        <v>2</v>
      </c>
      <c r="W40" s="2">
        <v>1</v>
      </c>
      <c r="X40" s="2">
        <v>1</v>
      </c>
      <c r="AJ40" s="2">
        <f t="shared" si="0"/>
        <v>20250227</v>
      </c>
    </row>
    <row r="41" spans="1:36" x14ac:dyDescent="0.3">
      <c r="A41" s="2">
        <v>40</v>
      </c>
      <c r="B41" s="2" t="s">
        <v>128</v>
      </c>
      <c r="C41" s="2" t="s">
        <v>129</v>
      </c>
      <c r="D41" s="2" t="s">
        <v>277</v>
      </c>
      <c r="E41" s="2" t="s">
        <v>36</v>
      </c>
      <c r="F41" s="2" t="s">
        <v>125</v>
      </c>
      <c r="G41" s="2" t="s">
        <v>37</v>
      </c>
      <c r="H41" s="2" t="s">
        <v>38</v>
      </c>
      <c r="I41" s="2" t="s">
        <v>45</v>
      </c>
      <c r="J41" s="2" t="s">
        <v>335</v>
      </c>
      <c r="K41" s="3">
        <v>300</v>
      </c>
      <c r="L41" s="2">
        <v>4200</v>
      </c>
      <c r="M41" s="2">
        <v>4200</v>
      </c>
      <c r="N41" s="2" t="s">
        <v>39</v>
      </c>
      <c r="O41" s="2" t="s">
        <v>369</v>
      </c>
      <c r="P41" s="2" t="s">
        <v>63</v>
      </c>
      <c r="Q41" s="2" t="s">
        <v>380</v>
      </c>
      <c r="R41" s="2" t="s">
        <v>195</v>
      </c>
      <c r="S41" s="2">
        <v>20250227</v>
      </c>
      <c r="T41" s="2">
        <v>20270227</v>
      </c>
      <c r="U41" s="2">
        <v>70079</v>
      </c>
      <c r="V41" s="2">
        <v>1</v>
      </c>
      <c r="W41" s="2">
        <v>1</v>
      </c>
      <c r="X41" s="2">
        <v>1</v>
      </c>
      <c r="AJ41" s="2">
        <f t="shared" si="0"/>
        <v>20250227</v>
      </c>
    </row>
    <row r="42" spans="1:36" x14ac:dyDescent="0.3">
      <c r="A42" s="2">
        <v>41</v>
      </c>
      <c r="B42" s="2" t="s">
        <v>72</v>
      </c>
      <c r="C42" s="2" t="s">
        <v>215</v>
      </c>
      <c r="D42" s="2" t="s">
        <v>73</v>
      </c>
      <c r="E42" s="2" t="s">
        <v>51</v>
      </c>
      <c r="F42" s="2" t="s">
        <v>216</v>
      </c>
      <c r="G42" s="2" t="s">
        <v>37</v>
      </c>
      <c r="H42" s="2" t="s">
        <v>38</v>
      </c>
      <c r="I42" s="2" t="s">
        <v>74</v>
      </c>
      <c r="J42" s="2" t="s">
        <v>75</v>
      </c>
      <c r="K42" s="3">
        <v>900</v>
      </c>
      <c r="L42" s="2">
        <v>2415</v>
      </c>
      <c r="M42" s="2">
        <v>2415</v>
      </c>
      <c r="N42" s="2" t="s">
        <v>370</v>
      </c>
      <c r="O42" s="2" t="s">
        <v>217</v>
      </c>
      <c r="P42" s="2" t="s">
        <v>44</v>
      </c>
      <c r="Q42" s="2" t="s">
        <v>218</v>
      </c>
      <c r="R42" s="2" t="s">
        <v>381</v>
      </c>
      <c r="S42" s="2">
        <v>20250227</v>
      </c>
      <c r="T42" s="2">
        <v>20270227</v>
      </c>
      <c r="U42" s="2">
        <v>70079</v>
      </c>
      <c r="V42" s="2">
        <v>2</v>
      </c>
      <c r="W42" s="2">
        <v>1</v>
      </c>
      <c r="X42" s="2">
        <v>1</v>
      </c>
      <c r="AJ42" s="2">
        <f t="shared" si="0"/>
        <v>20250227</v>
      </c>
    </row>
    <row r="43" spans="1:36" x14ac:dyDescent="0.3">
      <c r="A43" s="2">
        <v>42</v>
      </c>
      <c r="B43" s="2" t="s">
        <v>106</v>
      </c>
      <c r="C43" s="2" t="s">
        <v>154</v>
      </c>
      <c r="D43" s="2" t="s">
        <v>278</v>
      </c>
      <c r="E43" s="2" t="s">
        <v>36</v>
      </c>
      <c r="F43" s="2" t="s">
        <v>142</v>
      </c>
      <c r="G43" s="2" t="s">
        <v>37</v>
      </c>
      <c r="H43" s="2" t="s">
        <v>38</v>
      </c>
      <c r="I43" s="2" t="s">
        <v>223</v>
      </c>
      <c r="J43" s="2" t="s">
        <v>336</v>
      </c>
      <c r="K43" s="3">
        <v>1500</v>
      </c>
      <c r="L43" s="2">
        <v>590</v>
      </c>
      <c r="M43" s="2">
        <v>590</v>
      </c>
      <c r="N43" s="2" t="s">
        <v>39</v>
      </c>
      <c r="O43" s="2" t="s">
        <v>97</v>
      </c>
      <c r="P43" s="2" t="s">
        <v>44</v>
      </c>
      <c r="Q43" s="2" t="s">
        <v>373</v>
      </c>
      <c r="R43" s="2" t="s">
        <v>190</v>
      </c>
      <c r="S43" s="2">
        <v>20250227</v>
      </c>
      <c r="T43" s="2">
        <v>20270227</v>
      </c>
      <c r="U43" s="2">
        <v>70079</v>
      </c>
      <c r="V43" s="2">
        <v>1</v>
      </c>
      <c r="W43" s="2">
        <v>1</v>
      </c>
      <c r="X43" s="2">
        <v>1</v>
      </c>
      <c r="AJ43" s="2">
        <f t="shared" si="0"/>
        <v>20250227</v>
      </c>
    </row>
    <row r="44" spans="1:36" x14ac:dyDescent="0.3">
      <c r="A44" s="2">
        <v>43</v>
      </c>
      <c r="B44" s="2" t="s">
        <v>99</v>
      </c>
      <c r="C44" s="2" t="s">
        <v>222</v>
      </c>
      <c r="D44" s="2" t="s">
        <v>147</v>
      </c>
      <c r="E44" s="2" t="s">
        <v>36</v>
      </c>
      <c r="F44" s="2" t="s">
        <v>54</v>
      </c>
      <c r="G44" s="2" t="s">
        <v>37</v>
      </c>
      <c r="H44" s="2" t="s">
        <v>38</v>
      </c>
      <c r="I44" s="2" t="s">
        <v>148</v>
      </c>
      <c r="J44" s="2" t="s">
        <v>149</v>
      </c>
      <c r="K44" s="3">
        <v>600</v>
      </c>
      <c r="L44" s="2">
        <v>1850</v>
      </c>
      <c r="M44" s="2">
        <v>1850</v>
      </c>
      <c r="N44" s="2" t="s">
        <v>39</v>
      </c>
      <c r="O44" s="2" t="s">
        <v>97</v>
      </c>
      <c r="P44" s="2" t="s">
        <v>44</v>
      </c>
      <c r="Q44" s="2" t="s">
        <v>373</v>
      </c>
      <c r="R44" s="2" t="s">
        <v>190</v>
      </c>
      <c r="S44" s="2">
        <v>20250227</v>
      </c>
      <c r="T44" s="2">
        <v>20270227</v>
      </c>
      <c r="U44" s="2">
        <v>70079</v>
      </c>
      <c r="V44" s="2">
        <v>1</v>
      </c>
      <c r="W44" s="2">
        <v>1</v>
      </c>
      <c r="X44" s="2">
        <v>1</v>
      </c>
      <c r="AJ44" s="2">
        <f t="shared" si="0"/>
        <v>20250227</v>
      </c>
    </row>
    <row r="45" spans="1:36" ht="33.75" customHeight="1" x14ac:dyDescent="0.3">
      <c r="A45" s="2">
        <v>44</v>
      </c>
      <c r="B45" s="2" t="s">
        <v>382</v>
      </c>
      <c r="C45" s="2" t="s">
        <v>383</v>
      </c>
      <c r="D45" s="2" t="s">
        <v>384</v>
      </c>
      <c r="E45" s="2" t="s">
        <v>51</v>
      </c>
      <c r="F45" s="2" t="s">
        <v>385</v>
      </c>
      <c r="G45" s="2" t="s">
        <v>37</v>
      </c>
      <c r="H45" s="2" t="s">
        <v>38</v>
      </c>
      <c r="I45" s="2" t="s">
        <v>386</v>
      </c>
      <c r="J45" s="2" t="s">
        <v>387</v>
      </c>
      <c r="K45" s="2">
        <v>804</v>
      </c>
      <c r="L45" s="2">
        <v>7450</v>
      </c>
      <c r="M45" s="2">
        <v>7450</v>
      </c>
      <c r="N45" s="2" t="s">
        <v>388</v>
      </c>
      <c r="O45" s="2" t="s">
        <v>389</v>
      </c>
      <c r="P45" s="2" t="s">
        <v>44</v>
      </c>
      <c r="Q45" s="2" t="s">
        <v>185</v>
      </c>
      <c r="R45" s="2" t="s">
        <v>190</v>
      </c>
      <c r="S45" s="2" t="s">
        <v>390</v>
      </c>
      <c r="T45" s="2">
        <v>20270227</v>
      </c>
      <c r="U45" s="2">
        <v>70079</v>
      </c>
      <c r="V45" s="2">
        <v>1</v>
      </c>
      <c r="W45" s="2">
        <v>1</v>
      </c>
      <c r="X45" s="2">
        <v>1</v>
      </c>
      <c r="AJ45" s="2">
        <v>20250408</v>
      </c>
    </row>
    <row r="46" spans="1:36" ht="33.75" customHeight="1" x14ac:dyDescent="0.3">
      <c r="A46" s="2">
        <v>45</v>
      </c>
      <c r="B46" s="2" t="s">
        <v>382</v>
      </c>
      <c r="C46" s="2" t="s">
        <v>383</v>
      </c>
      <c r="D46" s="2" t="s">
        <v>391</v>
      </c>
      <c r="E46" s="2" t="s">
        <v>51</v>
      </c>
      <c r="F46" s="2" t="s">
        <v>392</v>
      </c>
      <c r="G46" s="2" t="s">
        <v>37</v>
      </c>
      <c r="H46" s="2" t="s">
        <v>38</v>
      </c>
      <c r="I46" s="2" t="s">
        <v>386</v>
      </c>
      <c r="J46" s="2" t="s">
        <v>393</v>
      </c>
      <c r="K46" s="2">
        <v>1764</v>
      </c>
      <c r="L46" s="2">
        <v>9500</v>
      </c>
      <c r="M46" s="2">
        <v>9500</v>
      </c>
      <c r="N46" s="2" t="s">
        <v>394</v>
      </c>
      <c r="O46" s="2" t="s">
        <v>389</v>
      </c>
      <c r="P46" s="2" t="s">
        <v>44</v>
      </c>
      <c r="Q46" s="2" t="s">
        <v>185</v>
      </c>
      <c r="R46" s="2" t="s">
        <v>190</v>
      </c>
      <c r="S46" s="2" t="s">
        <v>395</v>
      </c>
      <c r="T46" s="2">
        <v>20270227</v>
      </c>
      <c r="U46" s="2">
        <v>70079</v>
      </c>
      <c r="V46" s="2">
        <v>1</v>
      </c>
      <c r="W46" s="2">
        <v>1</v>
      </c>
      <c r="X46" s="2">
        <v>1</v>
      </c>
      <c r="AJ46" s="2">
        <v>20250227</v>
      </c>
    </row>
    <row r="47" spans="1:36" s="1" customFormat="1" x14ac:dyDescent="0.3">
      <c r="A47" s="2">
        <v>46</v>
      </c>
      <c r="B47" s="1" t="s">
        <v>396</v>
      </c>
      <c r="C47" s="1" t="s">
        <v>397</v>
      </c>
      <c r="D47" s="1" t="s">
        <v>398</v>
      </c>
      <c r="E47" s="1" t="s">
        <v>46</v>
      </c>
      <c r="F47" s="1" t="s">
        <v>399</v>
      </c>
      <c r="G47" s="1" t="s">
        <v>400</v>
      </c>
      <c r="H47" s="1" t="s">
        <v>401</v>
      </c>
      <c r="I47" s="1" t="s">
        <v>62</v>
      </c>
      <c r="J47" s="1" t="s">
        <v>402</v>
      </c>
      <c r="K47" s="1">
        <v>100</v>
      </c>
      <c r="L47" s="1">
        <v>7117</v>
      </c>
      <c r="M47" s="1">
        <v>7117</v>
      </c>
      <c r="N47" s="1" t="s">
        <v>403</v>
      </c>
      <c r="O47" s="1" t="s">
        <v>404</v>
      </c>
      <c r="P47" s="1" t="s">
        <v>44</v>
      </c>
      <c r="Q47" s="1" t="s">
        <v>405</v>
      </c>
      <c r="R47" s="1" t="s">
        <v>191</v>
      </c>
      <c r="S47" s="1">
        <v>20250822</v>
      </c>
      <c r="T47" s="1">
        <v>20270227</v>
      </c>
      <c r="U47" s="1">
        <v>70079</v>
      </c>
      <c r="V47" s="1">
        <v>1</v>
      </c>
      <c r="W47" s="1">
        <v>1</v>
      </c>
      <c r="X47" s="1">
        <v>1</v>
      </c>
      <c r="AJ47" s="1">
        <v>20250822</v>
      </c>
    </row>
    <row r="48" spans="1:36" x14ac:dyDescent="0.3">
      <c r="A48" s="2">
        <v>47</v>
      </c>
      <c r="B48" s="2" t="s">
        <v>406</v>
      </c>
      <c r="C48" s="2" t="s">
        <v>407</v>
      </c>
      <c r="D48" s="2" t="s">
        <v>408</v>
      </c>
      <c r="E48" s="2" t="s">
        <v>76</v>
      </c>
      <c r="F48" s="2" t="s">
        <v>409</v>
      </c>
      <c r="G48" s="2" t="s">
        <v>41</v>
      </c>
      <c r="H48" s="2" t="s">
        <v>42</v>
      </c>
      <c r="I48" s="2" t="s">
        <v>43</v>
      </c>
      <c r="J48" s="2" t="s">
        <v>410</v>
      </c>
      <c r="K48" s="2" t="s">
        <v>414</v>
      </c>
      <c r="L48" s="2">
        <v>13000</v>
      </c>
      <c r="M48" s="2">
        <v>13650</v>
      </c>
      <c r="N48" s="2" t="s">
        <v>411</v>
      </c>
      <c r="O48" s="2" t="s">
        <v>412</v>
      </c>
      <c r="P48" s="2" t="s">
        <v>44</v>
      </c>
      <c r="Q48" s="2" t="s">
        <v>413</v>
      </c>
      <c r="R48" s="2" t="s">
        <v>191</v>
      </c>
      <c r="S48" s="2" t="s">
        <v>395</v>
      </c>
      <c r="T48" s="2" t="s">
        <v>415</v>
      </c>
      <c r="U48" s="2">
        <v>70079</v>
      </c>
      <c r="V48" s="2" t="s">
        <v>416</v>
      </c>
      <c r="W48" s="2" t="s">
        <v>416</v>
      </c>
      <c r="X48" s="2" t="s">
        <v>416</v>
      </c>
      <c r="AJ48" s="2" t="s">
        <v>395</v>
      </c>
    </row>
  </sheetData>
  <autoFilter ref="A1:AL47" xr:uid="{4F71C730-398F-4D8B-A2E6-D25E7B817390}">
    <sortState xmlns:xlrd2="http://schemas.microsoft.com/office/spreadsheetml/2017/richdata2" ref="A2:AL44">
      <sortCondition ref="R1:R44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MAU_03DM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SonNguyen</dc:creator>
  <cp:lastModifiedBy>Hang Ngo Thi</cp:lastModifiedBy>
  <dcterms:created xsi:type="dcterms:W3CDTF">2026-03-18T08:29:45Z</dcterms:created>
  <dcterms:modified xsi:type="dcterms:W3CDTF">2026-04-13T03:23:13Z</dcterms:modified>
</cp:coreProperties>
</file>